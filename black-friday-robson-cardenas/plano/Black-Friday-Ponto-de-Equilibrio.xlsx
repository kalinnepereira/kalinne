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emissas" sheetId="1" state="visible" r:id="rId1"/>
    <sheet xmlns:r="http://schemas.openxmlformats.org/officeDocument/2006/relationships" name="Ponto de Equilibrio" sheetId="2" state="visible" r:id="rId2"/>
    <sheet xmlns:r="http://schemas.openxmlformats.org/officeDocument/2006/relationships" name="Simulador" sheetId="3" state="visible" r:id="rId3"/>
    <sheet xmlns:r="http://schemas.openxmlformats.org/officeDocument/2006/relationships" name="Divisao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R$&quot; #,##0.00;(&quot;R$&quot; #,##0.00);-"/>
    <numFmt numFmtId="165" formatCode="0.0%"/>
    <numFmt numFmtId="166" formatCode="&quot;R$&quot; #,##0;(&quot;R$&quot; #,##0);-"/>
  </numFmts>
  <fonts count="9">
    <font>
      <name val="Calibri"/>
      <family val="2"/>
      <color theme="1"/>
      <sz val="11"/>
      <scheme val="minor"/>
    </font>
    <font>
      <name val="Arial"/>
      <b val="1"/>
      <color rgb="007B1416"/>
      <sz val="14"/>
    </font>
    <font>
      <name val="Arial"/>
      <i val="1"/>
      <color rgb="00767676"/>
      <sz val="8"/>
    </font>
    <font>
      <name val="Arial"/>
      <b val="1"/>
      <color rgb="000000FF"/>
      <sz val="10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color rgb="00008000"/>
      <sz val="10"/>
    </font>
  </fonts>
  <fills count="7">
    <fill>
      <patternFill/>
    </fill>
    <fill>
      <patternFill patternType="gray125"/>
    </fill>
    <fill>
      <patternFill patternType="solid">
        <fgColor rgb="007B1416"/>
      </patternFill>
    </fill>
    <fill>
      <patternFill patternType="solid">
        <fgColor rgb="00EDE8E0"/>
      </patternFill>
    </fill>
    <fill>
      <patternFill patternType="solid">
        <fgColor rgb="00FFF2CC"/>
      </patternFill>
    </fill>
    <fill>
      <patternFill patternType="solid">
        <fgColor rgb="00F3F0EA"/>
      </patternFill>
    </fill>
    <fill>
      <patternFill patternType="solid">
        <fgColor rgb="00E3EEF7"/>
      </patternFill>
    </fill>
  </fills>
  <borders count="3">
    <border>
      <left/>
      <right/>
      <top/>
      <bottom/>
      <diagonal/>
    </border>
    <border>
      <left style="thin">
        <color rgb="00D8D2C8"/>
      </left>
      <right style="thin">
        <color rgb="00D8D2C8"/>
      </right>
      <top style="thin">
        <color rgb="00D8D2C8"/>
      </top>
      <bottom style="thin">
        <color rgb="00D8D2C8"/>
      </bottom>
    </border>
    <border>
      <top style="thin">
        <color rgb="007B1416"/>
      </top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0" fillId="2" borderId="0" pivotButton="0" quotePrefix="0" xfId="0"/>
    <xf numFmtId="0" fontId="5" fillId="3" borderId="0" pivotButton="0" quotePrefix="0" xfId="0"/>
    <xf numFmtId="0" fontId="6" fillId="4" borderId="0" pivotButton="0" quotePrefix="0" xfId="0"/>
    <xf numFmtId="164" fontId="7" fillId="4" borderId="0" pivotButton="0" quotePrefix="0" xfId="0"/>
    <xf numFmtId="0" fontId="7" fillId="4" borderId="0" pivotButton="0" quotePrefix="0" xfId="0"/>
    <xf numFmtId="0" fontId="5" fillId="5" borderId="0" pivotButton="0" quotePrefix="0" xfId="0"/>
    <xf numFmtId="164" fontId="5" fillId="5" borderId="0" pivotButton="0" quotePrefix="0" xfId="0"/>
    <xf numFmtId="0" fontId="6" fillId="5" borderId="0" pivotButton="0" quotePrefix="0" xfId="0"/>
    <xf numFmtId="164" fontId="6" fillId="5" borderId="0" pivotButton="0" quotePrefix="0" xfId="0"/>
    <xf numFmtId="3" fontId="7" fillId="4" borderId="0" pivotButton="0" quotePrefix="0" xfId="0"/>
    <xf numFmtId="165" fontId="7" fillId="4" borderId="0" pivotButton="0" quotePrefix="0" xfId="0"/>
    <xf numFmtId="0" fontId="6" fillId="0" borderId="0" pivotButton="0" quotePrefix="0" xfId="0"/>
    <xf numFmtId="164" fontId="8" fillId="0" borderId="0" pivotButton="0" quotePrefix="0" xfId="0"/>
    <xf numFmtId="0" fontId="5" fillId="6" borderId="0" pivotButton="0" quotePrefix="0" xfId="0"/>
    <xf numFmtId="164" fontId="5" fillId="6" borderId="0" pivotButton="0" quotePrefix="0" xfId="0"/>
    <xf numFmtId="165" fontId="5" fillId="6" borderId="0" pivotButton="0" quotePrefix="0" xfId="0"/>
    <xf numFmtId="3" fontId="5" fillId="5" borderId="0" pivotButton="0" quotePrefix="0" xfId="0"/>
    <xf numFmtId="3" fontId="5" fillId="6" borderId="0" pivotButton="0" quotePrefix="0" xfId="0"/>
    <xf numFmtId="0" fontId="5" fillId="3" borderId="1" pivotButton="0" quotePrefix="0" xfId="0"/>
    <xf numFmtId="3" fontId="5" fillId="0" borderId="1" pivotButton="0" quotePrefix="0" xfId="0"/>
    <xf numFmtId="166" fontId="0" fillId="6" borderId="1" pivotButton="0" quotePrefix="0" xfId="0"/>
    <xf numFmtId="166" fontId="0" fillId="0" borderId="1" pivotButton="0" quotePrefix="0" xfId="0"/>
    <xf numFmtId="164" fontId="7" fillId="4" borderId="1" pivotButton="0" quotePrefix="0" xfId="0"/>
    <xf numFmtId="164" fontId="0" fillId="0" borderId="1" pivotButton="0" quotePrefix="0" xfId="0"/>
    <xf numFmtId="3" fontId="0" fillId="0" borderId="1" pivotButton="0" quotePrefix="0" xfId="0"/>
    <xf numFmtId="164" fontId="6" fillId="0" borderId="0" pivotButton="0" quotePrefix="0" xfId="0"/>
    <xf numFmtId="164" fontId="5" fillId="5" borderId="2" pivotButton="0" quotePrefix="0" xfId="0"/>
    <xf numFmtId="0" fontId="6" fillId="6" borderId="0" pivotButton="0" quotePrefix="0" xfId="0"/>
    <xf numFmtId="164" fontId="6" fillId="6" borderId="0" pivotButton="0" quotePrefix="0" xfId="0"/>
    <xf numFmtId="164" fontId="8" fillId="6" borderId="0" pivotButton="0" quotePrefix="0" xfId="0"/>
    <xf numFmtId="164" fontId="5" fillId="6" borderId="2" pivotButton="0" quotePrefix="0" xfId="0"/>
    <xf numFmtId="3" fontId="5" fillId="0" borderId="0" pivotButton="0" quotePrefix="0" xfId="0"/>
    <xf numFmtId="165" fontId="6" fillId="0" borderId="0" pivotButton="0" quotePrefix="0" xfId="0"/>
    <xf numFmtId="0" fontId="6" fillId="0" borderId="1" pivotButton="0" quotePrefix="0" xfId="0"/>
    <xf numFmtId="0" fontId="5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Kalinne</author>
  </authors>
  <commentList>
    <comment ref="B21" authorId="0" shapeId="0">
      <text>
        <t>Em setembro, R$ 12.891 de trafego geraram 4 vendas (debriefing 01/10/2026).</t>
      </text>
    </comment>
    <comment ref="B27" authorId="0" shapeId="0">
      <text>
        <t>Tabela padrao Hotmart: 9,9% + R$ 1,00. CONFIRMAR a taxa real do produto.</t>
      </text>
    </comment>
    <comment ref="B29" authorId="0" shapeId="0">
      <text>
        <t>SUPOSICAO minha. Garantia de 7 dias.</t>
      </text>
    </comment>
    <comment ref="B30" authorId="0" shapeId="0">
      <text>
        <t>NAO SEI o regime do Centro. Zerado de proposito.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15" customWidth="1" min="2" max="2"/>
    <col width="13" customWidth="1" min="3" max="3"/>
    <col width="50" customWidth="1" min="4" max="4"/>
  </cols>
  <sheetData>
    <row r="1">
      <c r="A1" s="1" t="inlineStr">
        <is>
          <t>BLACK FRIDAY 2026 — PONTO DE EQUILÍBRIO</t>
        </is>
      </c>
    </row>
    <row r="2">
      <c r="A2" s="2" t="inlineStr">
        <is>
          <t>Centro Cultural Hugo de São Vítor · outubro e novembro de 2026 · sociedade 50/50 com rateio de custo</t>
        </is>
      </c>
    </row>
    <row r="4">
      <c r="A4" s="3" t="inlineStr">
        <is>
          <t>Edite só as células AZUIS sobre fundo amarelo. O resto é fórmula.</t>
        </is>
      </c>
    </row>
    <row r="6">
      <c r="A6" s="4" t="inlineStr">
        <is>
          <t>EQUIPE E FERRAMENTAS — custo mensal</t>
        </is>
      </c>
      <c r="B6" s="5" t="n"/>
      <c r="C6" s="5" t="inlineStr"/>
    </row>
    <row r="7">
      <c r="C7" s="6" t="inlineStr">
        <is>
          <t>Dividido?</t>
        </is>
      </c>
    </row>
    <row r="8">
      <c r="A8" s="7" t="inlineStr">
        <is>
          <t>Nayara — social media</t>
        </is>
      </c>
      <c r="B8" s="8" t="n">
        <v>1000</v>
      </c>
      <c r="C8" s="9" t="inlineStr">
        <is>
          <t>SIM</t>
        </is>
      </c>
    </row>
    <row r="9">
      <c r="A9" s="7" t="inlineStr">
        <is>
          <t>Henri — copy</t>
        </is>
      </c>
      <c r="B9" s="8" t="n">
        <v>2000</v>
      </c>
      <c r="C9" s="9" t="inlineStr">
        <is>
          <t>SIM</t>
        </is>
      </c>
    </row>
    <row r="10">
      <c r="A10" s="7" t="inlineStr">
        <is>
          <t>Gestor de tráfego</t>
        </is>
      </c>
      <c r="B10" s="8" t="n">
        <v>2000</v>
      </c>
      <c r="C10" s="9" t="inlineStr">
        <is>
          <t>SIM</t>
        </is>
      </c>
    </row>
    <row r="11">
      <c r="A11" s="7" t="inlineStr">
        <is>
          <t>Infra — Hugo</t>
        </is>
      </c>
      <c r="B11" s="8" t="n">
        <v>800</v>
      </c>
      <c r="C11" s="9" t="inlineStr">
        <is>
          <t>SIM</t>
        </is>
      </c>
    </row>
    <row r="12">
      <c r="A12" s="7" t="inlineStr">
        <is>
          <t>Ferramentas — e-mail, ManyChat, disparos</t>
        </is>
      </c>
      <c r="B12" s="8" t="n">
        <v>2000</v>
      </c>
      <c r="C12" s="9" t="inlineStr">
        <is>
          <t>SIM</t>
        </is>
      </c>
    </row>
    <row r="13">
      <c r="A13" s="7" t="inlineStr">
        <is>
          <t>Designer / webdesigner</t>
        </is>
      </c>
      <c r="B13" s="8" t="n">
        <v>2000</v>
      </c>
      <c r="C13" s="9" t="inlineStr">
        <is>
          <t>NAO</t>
        </is>
      </c>
    </row>
    <row r="14">
      <c r="A14" s="7" t="inlineStr">
        <is>
          <t>Editor de vídeo</t>
        </is>
      </c>
      <c r="B14" s="8" t="n">
        <v>1500</v>
      </c>
      <c r="C14" s="9" t="inlineStr">
        <is>
          <t>NAO</t>
        </is>
      </c>
    </row>
    <row r="15">
      <c r="A15" s="10" t="inlineStr">
        <is>
          <t>TOTAL POR MÊS</t>
        </is>
      </c>
      <c r="B15" s="11">
        <f>SUM(B8:B14)</f>
        <v/>
      </c>
    </row>
    <row r="16">
      <c r="A16" s="12" t="inlineStr">
        <is>
          <t>Dividido 50/50, por mês</t>
        </is>
      </c>
      <c r="B16" s="13">
        <f>SUMIF(C8:C14,"SIM",B8:B14)</f>
        <v/>
      </c>
    </row>
    <row r="17">
      <c r="A17" s="12" t="inlineStr">
        <is>
          <t>Só da Brand, por mês</t>
        </is>
      </c>
      <c r="B17" s="13">
        <f>B15-B16</f>
        <v/>
      </c>
    </row>
    <row r="19">
      <c r="A19" s="4" t="inlineStr">
        <is>
          <t>CAMPANHA</t>
        </is>
      </c>
      <c r="B19" s="5" t="n"/>
      <c r="C19" s="5" t="n"/>
    </row>
    <row r="20">
      <c r="A20" s="7" t="inlineStr">
        <is>
          <t>Meses (outubro e novembro)</t>
        </is>
      </c>
      <c r="B20" s="14" t="n">
        <v>2</v>
      </c>
    </row>
    <row r="21">
      <c r="A21" s="7" t="inlineStr">
        <is>
          <t>Verba de tráfego — dividida 50/50</t>
        </is>
      </c>
      <c r="B21" s="8" t="n">
        <v>5000</v>
      </c>
    </row>
    <row r="22">
      <c r="A22" s="10" t="inlineStr">
        <is>
          <t>CUSTO TOTAL DA CAMPANHA</t>
        </is>
      </c>
      <c r="B22" s="11">
        <f>B15*B20+B21</f>
        <v/>
      </c>
    </row>
    <row r="23">
      <c r="A23" s="12" t="inlineStr">
        <is>
          <t>Custo dividido 50/50</t>
        </is>
      </c>
      <c r="B23" s="13">
        <f>B16*B20+B21</f>
        <v/>
      </c>
    </row>
    <row r="24">
      <c r="A24" s="12" t="inlineStr">
        <is>
          <t>Custo só da Brand</t>
        </is>
      </c>
      <c r="B24" s="13">
        <f>B17*B20</f>
        <v/>
      </c>
    </row>
    <row r="26">
      <c r="A26" s="4" t="inlineStr">
        <is>
          <t>TAXAS E PERDAS</t>
        </is>
      </c>
      <c r="B26" s="5" t="n"/>
      <c r="C26" s="5" t="n"/>
    </row>
    <row r="27">
      <c r="A27" s="7" t="inlineStr">
        <is>
          <t>Hotmart — percentual por venda</t>
        </is>
      </c>
      <c r="B27" s="15" t="n">
        <v>0.099</v>
      </c>
    </row>
    <row r="28">
      <c r="A28" s="7" t="inlineStr">
        <is>
          <t>Hotmart — valor fixo por venda</t>
        </is>
      </c>
      <c r="B28" s="8" t="n">
        <v>1</v>
      </c>
    </row>
    <row r="29">
      <c r="A29" s="7" t="inlineStr">
        <is>
          <t>Reembolso estimado</t>
        </is>
      </c>
      <c r="B29" s="15" t="n">
        <v>0.05</v>
      </c>
    </row>
    <row r="30">
      <c r="A30" s="7" t="inlineStr">
        <is>
          <t>Imposto sobre faturamento</t>
        </is>
      </c>
      <c r="B30" s="15" t="n">
        <v>0</v>
      </c>
    </row>
    <row r="32">
      <c r="A32" s="4" t="inlineStr">
        <is>
          <t>PREÇOS</t>
        </is>
      </c>
      <c r="B32" s="5" t="n"/>
      <c r="C32" s="5" t="n"/>
    </row>
    <row r="33">
      <c r="A33" s="7" t="inlineStr">
        <is>
          <t>Preço — não aluno</t>
        </is>
      </c>
      <c r="B33" s="8" t="n">
        <v>1997</v>
      </c>
    </row>
    <row r="34">
      <c r="A34" s="7" t="inlineStr">
        <is>
          <t>Preço — aluno</t>
        </is>
      </c>
      <c r="B34" s="8" t="n">
        <v>1497</v>
      </c>
    </row>
    <row r="35">
      <c r="A35" s="7" t="inlineStr">
        <is>
          <t>Preço — turma de setembro</t>
        </is>
      </c>
      <c r="B35" s="8" t="n">
        <v>500</v>
      </c>
    </row>
    <row r="36">
      <c r="A36" s="12" t="inlineStr">
        <is>
          <t>Líquido por venda — não aluno</t>
        </is>
      </c>
      <c r="B36" s="13">
        <f>(B33*(1-$B$27)-$B$28)*(1-$B$29)*(1-$B$30)</f>
        <v/>
      </c>
    </row>
    <row r="37">
      <c r="A37" s="12" t="inlineStr">
        <is>
          <t>Líquido por venda — aluno</t>
        </is>
      </c>
      <c r="B37" s="13">
        <f>(B34*(1-$B$27)-$B$28)*(1-$B$29)*(1-$B$30)</f>
        <v/>
      </c>
    </row>
    <row r="38">
      <c r="A38" s="12" t="inlineStr">
        <is>
          <t>Líquido por venda — setembro</t>
        </is>
      </c>
      <c r="B38" s="13">
        <f>(B35*(1-$B$27)-$B$28)*(1-$B$29)*(1-$B$30)</f>
        <v/>
      </c>
    </row>
    <row r="40">
      <c r="A40" s="4" t="inlineStr">
        <is>
          <t>MIX ESPERADO</t>
        </is>
      </c>
      <c r="B40" s="5" t="n"/>
      <c r="C40" s="5" t="n"/>
    </row>
    <row r="41">
      <c r="A41" s="7" t="inlineStr">
        <is>
          <t>Proporção — alunos</t>
        </is>
      </c>
      <c r="B41" s="14" t="n">
        <v>2</v>
      </c>
    </row>
    <row r="42">
      <c r="A42" s="7" t="inlineStr">
        <is>
          <t>Proporção — não alunos</t>
        </is>
      </c>
      <c r="B42" s="14" t="n">
        <v>1</v>
      </c>
    </row>
    <row r="43">
      <c r="A43" s="12" t="inlineStr">
        <is>
          <t>Líquido médio no mix</t>
        </is>
      </c>
      <c r="B43" s="13">
        <f>(B41*B37+B42*B36)/(B41+B42)</f>
        <v/>
      </c>
    </row>
    <row r="45">
      <c r="A45" s="4" t="inlineStr">
        <is>
          <t>DIVISÃO DO LUCRO</t>
        </is>
      </c>
      <c r="B45" s="5" t="n"/>
      <c r="C45" s="5" t="n"/>
    </row>
    <row r="46">
      <c r="A46" s="7" t="inlineStr">
        <is>
          <t>Kalinne / Brand</t>
        </is>
      </c>
      <c r="B46" s="15" t="n">
        <v>0.5</v>
      </c>
    </row>
    <row r="47">
      <c r="A47" s="7" t="inlineStr">
        <is>
          <t>Robson / Centro</t>
        </is>
      </c>
      <c r="B47" s="15" t="n">
        <v>0.5</v>
      </c>
    </row>
    <row r="49">
      <c r="A49" s="2" t="inlineStr">
        <is>
          <t>Acordado em 06/10/2026: dividem tráfego, gestor de tráfego, Nayara, Henri, ferramentas e infra.</t>
        </is>
      </c>
    </row>
    <row r="50">
      <c r="A50" s="2" t="inlineStr">
        <is>
          <t>Designer e editor ficam por conta da Brand. O lucro é dividido depois de descontado só o custo dividido.</t>
        </is>
      </c>
    </row>
    <row r="51">
      <c r="A51" s="2" t="inlineStr">
        <is>
          <t>Números arbitrados por mim e a confirmar: taxa Hotmart, reembolso, imposto — estão com comentário na célula.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QUANTAS VENDAS PARA EMPATAR</t>
        </is>
      </c>
    </row>
    <row r="2">
      <c r="A2" s="2" t="inlineStr">
        <is>
          <t>A campanha empata num ponto. Cada sócio empata em outro, porque o custo não é dividido por igual.</t>
        </is>
      </c>
    </row>
    <row r="4">
      <c r="A4" s="4" t="inlineStr">
        <is>
          <t>O CUSTO</t>
        </is>
      </c>
      <c r="B4" s="5" t="n"/>
    </row>
    <row r="5">
      <c r="A5" s="16" t="inlineStr">
        <is>
          <t>Custo total da campanha</t>
        </is>
      </c>
      <c r="B5" s="17">
        <f>Premissas!$B$22</f>
        <v/>
      </c>
    </row>
    <row r="6">
      <c r="A6" s="16" t="inlineStr">
        <is>
          <t>Dividido 50/50</t>
        </is>
      </c>
      <c r="B6" s="17">
        <f>Premissas!$B$23</f>
        <v/>
      </c>
    </row>
    <row r="7">
      <c r="A7" s="16" t="inlineStr">
        <is>
          <t>Só da Brand</t>
        </is>
      </c>
      <c r="B7" s="17">
        <f>Premissas!$B$24</f>
        <v/>
      </c>
    </row>
    <row r="8">
      <c r="A8" s="18" t="inlineStr">
        <is>
          <t>Kalinne desembolsa</t>
        </is>
      </c>
      <c r="B8" s="19">
        <f>B6/2+B7</f>
        <v/>
      </c>
    </row>
    <row r="9">
      <c r="A9" s="10" t="inlineStr">
        <is>
          <t>Robson desembolsa</t>
        </is>
      </c>
      <c r="B9" s="11">
        <f>B6/2</f>
        <v/>
      </c>
    </row>
    <row r="10">
      <c r="A10" s="18" t="inlineStr">
        <is>
          <t>Fatia do custo que a Kalinne carrega</t>
        </is>
      </c>
      <c r="B10" s="20">
        <f>B8/B5</f>
        <v/>
      </c>
    </row>
    <row r="12">
      <c r="A12" s="4" t="inlineStr">
        <is>
          <t>VENDAS PARA EMPATAR</t>
        </is>
      </c>
      <c r="B12" s="5" t="n"/>
    </row>
    <row r="13">
      <c r="A13" s="10" t="inlineStr">
        <is>
          <t>A campanha empata com</t>
        </is>
      </c>
      <c r="B13" s="21">
        <f>ROUNDUP(B5/Premissas!$B$43,0)</f>
        <v/>
      </c>
    </row>
    <row r="14">
      <c r="A14" s="18" t="inlineStr">
        <is>
          <t>A KALINNE empata com</t>
        </is>
      </c>
      <c r="B14" s="22">
        <f>ROUNDUP((B6+2*B7)/Premissas!$B$43,0)</f>
        <v/>
      </c>
    </row>
    <row r="15">
      <c r="A15" s="10" t="inlineStr">
        <is>
          <t>O ROBSON empata com</t>
        </is>
      </c>
      <c r="B15" s="21">
        <f>ROUNDUP(B6/Premissas!$B$43,0)</f>
        <v/>
      </c>
    </row>
    <row r="17">
      <c r="A17" s="2" t="inlineStr">
        <is>
          <t>Referência: o lançamento de setembro de 2026 vendeu cerca de 21 unidades.</t>
        </is>
      </c>
    </row>
    <row r="19">
      <c r="A19" s="4" t="inlineStr">
        <is>
          <t>RESULTADO DE CADA UM, POR VOLUME DE VENDAS</t>
        </is>
      </c>
      <c r="B19" s="5" t="n"/>
      <c r="C19" s="5" t="n"/>
    </row>
    <row r="20">
      <c r="A20" s="23" t="inlineStr">
        <is>
          <t>Vendas</t>
        </is>
      </c>
      <c r="B20" s="23" t="inlineStr">
        <is>
          <t>Kalinne</t>
        </is>
      </c>
      <c r="C20" s="23" t="inlineStr">
        <is>
          <t>Robson</t>
        </is>
      </c>
    </row>
    <row r="21">
      <c r="A21" s="24" t="n">
        <v>15</v>
      </c>
      <c r="B21" s="25">
        <f>(A21*Premissas!$B$43-$B$6)*Premissas!$B$46-$B$7</f>
        <v/>
      </c>
      <c r="C21" s="26">
        <f>(A21*Premissas!$B$43-$B$6)*Premissas!$B$47</f>
        <v/>
      </c>
    </row>
    <row r="22">
      <c r="A22" s="24" t="n">
        <v>20</v>
      </c>
      <c r="B22" s="25">
        <f>(A22*Premissas!$B$43-$B$6)*Premissas!$B$46-$B$7</f>
        <v/>
      </c>
      <c r="C22" s="26">
        <f>(A22*Premissas!$B$43-$B$6)*Premissas!$B$47</f>
        <v/>
      </c>
    </row>
    <row r="23">
      <c r="A23" s="24" t="n">
        <v>25</v>
      </c>
      <c r="B23" s="25">
        <f>(A23*Premissas!$B$43-$B$6)*Premissas!$B$46-$B$7</f>
        <v/>
      </c>
      <c r="C23" s="26">
        <f>(A23*Premissas!$B$43-$B$6)*Premissas!$B$47</f>
        <v/>
      </c>
    </row>
    <row r="24">
      <c r="A24" s="24" t="n">
        <v>29</v>
      </c>
      <c r="B24" s="25">
        <f>(A24*Premissas!$B$43-$B$6)*Premissas!$B$46-$B$7</f>
        <v/>
      </c>
      <c r="C24" s="26">
        <f>(A24*Premissas!$B$43-$B$6)*Premissas!$B$47</f>
        <v/>
      </c>
    </row>
    <row r="25">
      <c r="A25" s="24" t="n">
        <v>34</v>
      </c>
      <c r="B25" s="25">
        <f>(A25*Premissas!$B$43-$B$6)*Premissas!$B$46-$B$7</f>
        <v/>
      </c>
      <c r="C25" s="26">
        <f>(A25*Premissas!$B$43-$B$6)*Premissas!$B$47</f>
        <v/>
      </c>
    </row>
    <row r="26">
      <c r="A26" s="24" t="n">
        <v>45</v>
      </c>
      <c r="B26" s="25">
        <f>(A26*Premissas!$B$43-$B$6)*Premissas!$B$46-$B$7</f>
        <v/>
      </c>
      <c r="C26" s="26">
        <f>(A26*Premissas!$B$43-$B$6)*Premissas!$B$47</f>
        <v/>
      </c>
    </row>
    <row r="27">
      <c r="A27" s="24" t="n">
        <v>65</v>
      </c>
      <c r="B27" s="25">
        <f>(A27*Premissas!$B$43-$B$6)*Premissas!$B$46-$B$7</f>
        <v/>
      </c>
      <c r="C27" s="26">
        <f>(A27*Premissas!$B$43-$B$6)*Premissas!$B$47</f>
        <v/>
      </c>
    </row>
    <row r="28">
      <c r="A28" s="24" t="n">
        <v>85</v>
      </c>
      <c r="B28" s="25">
        <f>(A28*Premissas!$B$43-$B$6)*Premissas!$B$46-$B$7</f>
        <v/>
      </c>
      <c r="C28" s="26">
        <f>(A28*Premissas!$B$43-$B$6)*Premissas!$B$47</f>
        <v/>
      </c>
    </row>
    <row r="31">
      <c r="A31" s="4" t="inlineStr">
        <is>
          <t>E SE A VERBA DE TRÁFEGO FOR OUTRA</t>
        </is>
      </c>
      <c r="B31" s="5" t="n"/>
      <c r="C31" s="5" t="n"/>
      <c r="D31" s="5" t="n"/>
    </row>
    <row r="32">
      <c r="A32" s="23" t="inlineStr">
        <is>
          <t>Verba</t>
        </is>
      </c>
      <c r="B32" s="23" t="inlineStr">
        <is>
          <t>Custo total</t>
        </is>
      </c>
      <c r="C32" s="23" t="inlineStr">
        <is>
          <t>Kalinne empata</t>
        </is>
      </c>
      <c r="D32" s="23" t="inlineStr">
        <is>
          <t>Robson empata</t>
        </is>
      </c>
    </row>
    <row r="33">
      <c r="A33" s="27" t="n">
        <v>0</v>
      </c>
      <c r="B33" s="28">
        <f>Premissas!$B$15*Premissas!$B$20+A33</f>
        <v/>
      </c>
      <c r="C33" s="29">
        <f>ROUNDUP((Premissas!$B$16*Premissas!$B$20+A33+2*$B$7)/Premissas!$B$43,0)</f>
        <v/>
      </c>
      <c r="D33" s="29">
        <f>ROUNDUP((Premissas!$B$16*Premissas!$B$20+A33)/Premissas!$B$43,0)</f>
        <v/>
      </c>
    </row>
    <row r="34">
      <c r="A34" s="27" t="n">
        <v>5000</v>
      </c>
      <c r="B34" s="28">
        <f>Premissas!$B$15*Premissas!$B$20+A34</f>
        <v/>
      </c>
      <c r="C34" s="29">
        <f>ROUNDUP((Premissas!$B$16*Premissas!$B$20+A34+2*$B$7)/Premissas!$B$43,0)</f>
        <v/>
      </c>
      <c r="D34" s="29">
        <f>ROUNDUP((Premissas!$B$16*Premissas!$B$20+A34)/Premissas!$B$43,0)</f>
        <v/>
      </c>
    </row>
    <row r="35">
      <c r="A35" s="27" t="n">
        <v>10000</v>
      </c>
      <c r="B35" s="28">
        <f>Premissas!$B$15*Premissas!$B$20+A35</f>
        <v/>
      </c>
      <c r="C35" s="29">
        <f>ROUNDUP((Premissas!$B$16*Premissas!$B$20+A35+2*$B$7)/Premissas!$B$43,0)</f>
        <v/>
      </c>
      <c r="D35" s="29">
        <f>ROUNDUP((Premissas!$B$16*Premissas!$B$20+A35)/Premissas!$B$43,0)</f>
        <v/>
      </c>
    </row>
    <row r="36">
      <c r="A36" s="27" t="n">
        <v>15000</v>
      </c>
      <c r="B36" s="28">
        <f>Premissas!$B$15*Premissas!$B$20+A36</f>
        <v/>
      </c>
      <c r="C36" s="29">
        <f>ROUNDUP((Premissas!$B$16*Premissas!$B$20+A36+2*$B$7)/Premissas!$B$43,0)</f>
        <v/>
      </c>
      <c r="D36" s="29">
        <f>ROUNDUP((Premissas!$B$16*Premissas!$B$20+A36)/Premissas!$B$43,0)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18" customWidth="1" min="2" max="2"/>
  </cols>
  <sheetData>
    <row r="1">
      <c r="A1" s="1" t="inlineStr">
        <is>
          <t>SIMULADOR</t>
        </is>
      </c>
    </row>
    <row r="2">
      <c r="A2" s="2" t="inlineStr">
        <is>
          <t>Digite as três células azuis. Tudo abaixo recalcula.</t>
        </is>
      </c>
    </row>
    <row r="4">
      <c r="A4" s="4" t="inlineStr">
        <is>
          <t>VENDAS</t>
        </is>
      </c>
      <c r="B4" s="5" t="n"/>
    </row>
    <row r="5">
      <c r="A5" s="7" t="inlineStr">
        <is>
          <t>Vendas para alunos — R$ 1.497</t>
        </is>
      </c>
      <c r="B5" s="14" t="n">
        <v>40</v>
      </c>
    </row>
    <row r="6">
      <c r="A6" s="7" t="inlineStr">
        <is>
          <t>Vendas para não alunos — R$ 1.997</t>
        </is>
      </c>
      <c r="B6" s="14" t="n">
        <v>25</v>
      </c>
    </row>
    <row r="7">
      <c r="A7" s="7" t="inlineStr">
        <is>
          <t>Vendas turma de setembro — R$ 500</t>
        </is>
      </c>
      <c r="B7" s="14" t="n">
        <v>10</v>
      </c>
    </row>
    <row r="8">
      <c r="A8" s="10" t="inlineStr">
        <is>
          <t>TOTAL DE VENDAS</t>
        </is>
      </c>
      <c r="B8" s="21">
        <f>B5+B6+B7</f>
        <v/>
      </c>
    </row>
    <row r="10">
      <c r="A10" s="4" t="inlineStr">
        <is>
          <t>RECEITA</t>
        </is>
      </c>
      <c r="B10" s="5" t="n"/>
    </row>
    <row r="11">
      <c r="A11" s="16" t="inlineStr">
        <is>
          <t>Faturamento bruto</t>
        </is>
      </c>
      <c r="B11" s="30">
        <f>B5*Premissas!$B$34+B6*Premissas!$B$33+B7*Premissas!$B$35</f>
        <v/>
      </c>
    </row>
    <row r="12">
      <c r="A12" s="16" t="inlineStr">
        <is>
          <t>(-) Hotmart</t>
        </is>
      </c>
      <c r="B12" s="30">
        <f>-(B11*Premissas!$B$27+B8*Premissas!$B$28)</f>
        <v/>
      </c>
    </row>
    <row r="13">
      <c r="A13" s="16" t="inlineStr">
        <is>
          <t>(-) Reembolso</t>
        </is>
      </c>
      <c r="B13" s="30">
        <f>-(B11+B12)*Premissas!$B$29</f>
        <v/>
      </c>
    </row>
    <row r="14">
      <c r="A14" s="16" t="inlineStr">
        <is>
          <t>(-) Imposto</t>
        </is>
      </c>
      <c r="B14" s="30">
        <f>-(B11+B12+B13)*Premissas!$B$30</f>
        <v/>
      </c>
    </row>
    <row r="15">
      <c r="A15" s="10" t="inlineStr">
        <is>
          <t>RECEITA LÍQUIDA</t>
        </is>
      </c>
      <c r="B15" s="11">
        <f>B11+B12+B13+B14</f>
        <v/>
      </c>
    </row>
    <row r="17">
      <c r="A17" s="4" t="inlineStr">
        <is>
          <t>APURAÇÃO DO LUCRO A DIVIDIR</t>
        </is>
      </c>
      <c r="B17" s="5" t="n"/>
    </row>
    <row r="18">
      <c r="A18" s="16" t="inlineStr">
        <is>
          <t>(-) Custo dividido 50/50</t>
        </is>
      </c>
      <c r="B18" s="17">
        <f>-Premissas!$B$23</f>
        <v/>
      </c>
    </row>
    <row r="19">
      <c r="A19" s="10" t="inlineStr">
        <is>
          <t>LUCRO A DIVIDIR</t>
        </is>
      </c>
      <c r="B19" s="31">
        <f>B15+B18</f>
        <v/>
      </c>
    </row>
    <row r="21">
      <c r="A21" s="4" t="inlineStr">
        <is>
          <t>RESULTADO DE CADA UM</t>
        </is>
      </c>
      <c r="B21" s="5" t="n"/>
    </row>
    <row r="22">
      <c r="A22" s="32" t="inlineStr">
        <is>
          <t>Kalinne — metade do lucro</t>
        </is>
      </c>
      <c r="B22" s="33">
        <f>B19*Premissas!$B$46</f>
        <v/>
      </c>
    </row>
    <row r="23">
      <c r="A23" s="32" t="inlineStr">
        <is>
          <t>Kalinne — (-) custo só da Brand</t>
        </is>
      </c>
      <c r="B23" s="34">
        <f>-Premissas!$B$24</f>
        <v/>
      </c>
    </row>
    <row r="24">
      <c r="A24" s="18" t="inlineStr">
        <is>
          <t>RESULTADO DA KALINNE</t>
        </is>
      </c>
      <c r="B24" s="35">
        <f>B22+B23</f>
        <v/>
      </c>
    </row>
    <row r="26">
      <c r="A26" s="10" t="inlineStr">
        <is>
          <t>RESULTADO DO ROBSON</t>
        </is>
      </c>
      <c r="B26" s="11">
        <f>B19*Premissas!$B$47</f>
        <v/>
      </c>
    </row>
    <row r="28">
      <c r="A28" s="4" t="inlineStr">
        <is>
          <t>CONFERÊNCIA</t>
        </is>
      </c>
      <c r="B28" s="5" t="n"/>
    </row>
    <row r="29">
      <c r="A29" s="16" t="inlineStr">
        <is>
          <t>Falta para a Kalinne empatar</t>
        </is>
      </c>
      <c r="B29" s="30">
        <f>IF(B24&gt;=0,0,-B24)</f>
        <v/>
      </c>
    </row>
    <row r="30">
      <c r="A30" s="16" t="inlineStr">
        <is>
          <t>Vendas que ainda faltam para ela</t>
        </is>
      </c>
      <c r="B30" s="36">
        <f>IF(B24&gt;=0,0,ROUNDUP(-B24/(Premissas!$B$43*Premissas!$B$46),0))</f>
        <v/>
      </c>
    </row>
    <row r="31">
      <c r="A31" s="16" t="inlineStr">
        <is>
          <t>Margem da campanha sobre o faturamento</t>
        </is>
      </c>
      <c r="B31" s="37">
        <f>IF(B11=0,0,(B15-Premissas!$B$22)/B11)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4" customWidth="1" min="1" max="1"/>
    <col width="17" customWidth="1" min="2" max="2"/>
    <col width="17" customWidth="1" min="3" max="3"/>
    <col width="17" customWidth="1" min="4" max="4"/>
  </cols>
  <sheetData>
    <row r="1">
      <c r="A1" s="1" t="inlineStr">
        <is>
          <t>QUEM PAGA O QUÊ</t>
        </is>
      </c>
    </row>
    <row r="2">
      <c r="A2" s="2" t="inlineStr">
        <is>
          <t>Acordo de 06/10/2026. Os dois meses são outubro e novembro.</t>
        </is>
      </c>
    </row>
    <row r="4">
      <c r="A4" s="23" t="inlineStr">
        <is>
          <t>Item</t>
        </is>
      </c>
      <c r="B4" s="23" t="inlineStr">
        <is>
          <t>2 meses</t>
        </is>
      </c>
      <c r="C4" s="23" t="inlineStr">
        <is>
          <t>Kalinne</t>
        </is>
      </c>
      <c r="D4" s="23" t="inlineStr">
        <is>
          <t>Robson</t>
        </is>
      </c>
    </row>
    <row r="5">
      <c r="A5" s="38" t="inlineStr">
        <is>
          <t>Nayara — social media</t>
        </is>
      </c>
      <c r="B5" s="28">
        <f>Premissas!B8*Premissas!$B$20</f>
        <v/>
      </c>
      <c r="C5" s="28">
        <f>IF(Premissas!C8="SIM",B5/2,B5)</f>
        <v/>
      </c>
      <c r="D5" s="28">
        <f>IF(Premissas!C8="SIM",B5/2,0)</f>
        <v/>
      </c>
    </row>
    <row r="6">
      <c r="A6" s="38" t="inlineStr">
        <is>
          <t>Henri — copy</t>
        </is>
      </c>
      <c r="B6" s="28">
        <f>Premissas!B9*Premissas!$B$20</f>
        <v/>
      </c>
      <c r="C6" s="28">
        <f>IF(Premissas!C9="SIM",B6/2,B6)</f>
        <v/>
      </c>
      <c r="D6" s="28">
        <f>IF(Premissas!C9="SIM",B6/2,0)</f>
        <v/>
      </c>
    </row>
    <row r="7">
      <c r="A7" s="38" t="inlineStr">
        <is>
          <t>Gestor de tráfego</t>
        </is>
      </c>
      <c r="B7" s="28">
        <f>Premissas!B10*Premissas!$B$20</f>
        <v/>
      </c>
      <c r="C7" s="28">
        <f>IF(Premissas!C10="SIM",B7/2,B7)</f>
        <v/>
      </c>
      <c r="D7" s="28">
        <f>IF(Premissas!C10="SIM",B7/2,0)</f>
        <v/>
      </c>
    </row>
    <row r="8">
      <c r="A8" s="38" t="inlineStr">
        <is>
          <t>Infra — Hugo</t>
        </is>
      </c>
      <c r="B8" s="28">
        <f>Premissas!B11*Premissas!$B$20</f>
        <v/>
      </c>
      <c r="C8" s="28">
        <f>IF(Premissas!C11="SIM",B8/2,B8)</f>
        <v/>
      </c>
      <c r="D8" s="28">
        <f>IF(Premissas!C11="SIM",B8/2,0)</f>
        <v/>
      </c>
    </row>
    <row r="9">
      <c r="A9" s="38" t="inlineStr">
        <is>
          <t>Ferramentas — e-mail, ManyChat, disparos</t>
        </is>
      </c>
      <c r="B9" s="28">
        <f>Premissas!B12*Premissas!$B$20</f>
        <v/>
      </c>
      <c r="C9" s="28">
        <f>IF(Premissas!C12="SIM",B9/2,B9)</f>
        <v/>
      </c>
      <c r="D9" s="28">
        <f>IF(Premissas!C12="SIM",B9/2,0)</f>
        <v/>
      </c>
    </row>
    <row r="10">
      <c r="A10" s="38" t="inlineStr">
        <is>
          <t>Designer / webdesigner</t>
        </is>
      </c>
      <c r="B10" s="28">
        <f>Premissas!B13*Premissas!$B$20</f>
        <v/>
      </c>
      <c r="C10" s="28">
        <f>IF(Premissas!C13="SIM",B10/2,B10)</f>
        <v/>
      </c>
      <c r="D10" s="28">
        <f>IF(Premissas!C13="SIM",B10/2,0)</f>
        <v/>
      </c>
    </row>
    <row r="11">
      <c r="A11" s="38" t="inlineStr">
        <is>
          <t>Editor de vídeo</t>
        </is>
      </c>
      <c r="B11" s="28">
        <f>Premissas!B14*Premissas!$B$20</f>
        <v/>
      </c>
      <c r="C11" s="28">
        <f>IF(Premissas!C14="SIM",B11/2,B11)</f>
        <v/>
      </c>
      <c r="D11" s="28">
        <f>IF(Premissas!C14="SIM",B11/2,0)</f>
        <v/>
      </c>
    </row>
    <row r="12">
      <c r="A12" s="38" t="inlineStr">
        <is>
          <t>Tráfego</t>
        </is>
      </c>
      <c r="B12" s="28">
        <f>Premissas!$B$21</f>
        <v/>
      </c>
      <c r="C12" s="28">
        <f>B12/2</f>
        <v/>
      </c>
      <c r="D12" s="28">
        <f>B12/2</f>
        <v/>
      </c>
    </row>
    <row r="13">
      <c r="A13" s="39" t="inlineStr">
        <is>
          <t>TOTAL</t>
        </is>
      </c>
      <c r="B13" s="31">
        <f>SUM(B5:B12)</f>
        <v/>
      </c>
      <c r="C13" s="31">
        <f>SUM(C5:C12)</f>
        <v/>
      </c>
      <c r="D13" s="31">
        <f>SUM(D5:D12)</f>
        <v/>
      </c>
    </row>
    <row r="15">
      <c r="A15" s="39" t="inlineStr">
        <is>
          <t>Fatia do custo</t>
        </is>
      </c>
      <c r="C15" s="40">
        <f>C13/$B$13</f>
        <v/>
      </c>
      <c r="D15" s="40">
        <f>D13/$B$13</f>
        <v/>
      </c>
    </row>
    <row r="17">
      <c r="A17" s="2" t="inlineStr">
        <is>
          <t>O lucro é dividido 50/50 depois de descontado apenas o custo dividido.</t>
        </is>
      </c>
    </row>
    <row r="18">
      <c r="A18" s="2" t="inlineStr">
        <is>
          <t>O custo só da Brand sai da metade da Kalinne, depois da divisão. Por isso os pontos de equilíbrio são diferentes.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2026-10-06T10:59:15Z</dcterms:created>
  <dcterms:modified xmlns:dcterms="http://purl.org/dc/terms/" xmlns:xsi="http://www.w3.org/2001/XMLSchema-instance" xsi:type="dcterms:W3CDTF">2026-10-06T10:59:15Z</dcterms:modified>
</cp:coreProperties>
</file>