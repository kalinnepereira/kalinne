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Ponto de Equilibrio" sheetId="2" state="visible" r:id="rId2"/>
    <sheet xmlns:r="http://schemas.openxmlformats.org/officeDocument/2006/relationships" name="Simulador" sheetId="3" state="visible" r:id="rId3"/>
    <sheet xmlns:r="http://schemas.openxmlformats.org/officeDocument/2006/relationships" name="Cenarios" sheetId="4" state="visible" r:id="rId4"/>
    <sheet xmlns:r="http://schemas.openxmlformats.org/officeDocument/2006/relationships" name="Sensibilidade" sheetId="5" state="visible" r:id="rId5"/>
    <sheet xmlns:r="http://schemas.openxmlformats.org/officeDocument/2006/relationships" name="5050 vs 2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;(&quot;R$&quot; #,##0.00);-"/>
    <numFmt numFmtId="165" formatCode="0.0%"/>
    <numFmt numFmtId="166" formatCode="&quot;R$&quot; #,##0;(&quot;R$&quot; #,##0);-"/>
  </numFmts>
  <fonts count="10">
    <font>
      <name val="Calibri"/>
      <family val="2"/>
      <color theme="1"/>
      <sz val="11"/>
      <scheme val="minor"/>
    </font>
    <font>
      <name val="Arial"/>
      <b val="1"/>
      <color rgb="007B1416"/>
      <sz val="14"/>
    </font>
    <font>
      <name val="Arial"/>
      <i val="1"/>
      <color rgb="00767676"/>
      <sz val="8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7B1416"/>
      <sz val="9"/>
    </font>
  </fonts>
  <fills count="8">
    <fill>
      <patternFill/>
    </fill>
    <fill>
      <patternFill patternType="gray125"/>
    </fill>
    <fill>
      <patternFill patternType="solid">
        <fgColor rgb="007B1416"/>
      </patternFill>
    </fill>
    <fill>
      <patternFill patternType="solid">
        <fgColor rgb="00FFF2CC"/>
      </patternFill>
    </fill>
    <fill>
      <patternFill patternType="solid">
        <fgColor rgb="00F3F0EA"/>
      </patternFill>
    </fill>
    <fill>
      <patternFill patternType="solid">
        <fgColor rgb="00EDE8E0"/>
      </patternFill>
    </fill>
    <fill>
      <patternFill patternType="solid">
        <fgColor rgb="00FBE9E9"/>
      </patternFill>
    </fill>
    <fill>
      <patternFill patternType="solid">
        <fgColor rgb="00E3F0E3"/>
      </patternFill>
    </fill>
  </fills>
  <borders count="3">
    <border>
      <left/>
      <right/>
      <top/>
      <bottom/>
      <diagonal/>
    </border>
    <border>
      <left style="thin">
        <color rgb="00D8D2C8"/>
      </left>
      <right style="thin">
        <color rgb="00D8D2C8"/>
      </right>
      <top style="thin">
        <color rgb="00D8D2C8"/>
      </top>
      <bottom style="thin">
        <color rgb="00D8D2C8"/>
      </bottom>
    </border>
    <border>
      <top style="thin">
        <color rgb="007B1416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164" fontId="6" fillId="3" borderId="0" pivotButton="0" quotePrefix="0" xfId="0"/>
    <xf numFmtId="0" fontId="7" fillId="4" borderId="0" pivotButton="0" quotePrefix="0" xfId="0"/>
    <xf numFmtId="164" fontId="7" fillId="4" borderId="0" pivotButton="0" quotePrefix="0" xfId="0"/>
    <xf numFmtId="3" fontId="6" fillId="3" borderId="0" pivotButton="0" quotePrefix="0" xfId="0"/>
    <xf numFmtId="165" fontId="6" fillId="3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5" fillId="0" borderId="0" pivotButton="0" quotePrefix="0" xfId="0"/>
    <xf numFmtId="164" fontId="8" fillId="0" borderId="0" pivotButton="0" quotePrefix="0" xfId="0"/>
    <xf numFmtId="3" fontId="7" fillId="0" borderId="0" pivotButton="0" quotePrefix="0" xfId="0"/>
    <xf numFmtId="3" fontId="7" fillId="4" borderId="0" pivotButton="0" quotePrefix="0" xfId="0"/>
    <xf numFmtId="0" fontId="7" fillId="5" borderId="1" pivotButton="0" quotePrefix="0" xfId="0"/>
    <xf numFmtId="164" fontId="6" fillId="3" borderId="1" pivotButton="0" quotePrefix="0" xfId="0"/>
    <xf numFmtId="164" fontId="0" fillId="0" borderId="1" pivotButton="0" quotePrefix="0" xfId="0"/>
    <xf numFmtId="3" fontId="7" fillId="0" borderId="1" pivotButton="0" quotePrefix="0" xfId="0"/>
    <xf numFmtId="3" fontId="0" fillId="0" borderId="1" pivotButton="0" quotePrefix="0" xfId="0"/>
    <xf numFmtId="164" fontId="5" fillId="0" borderId="0" pivotButton="0" quotePrefix="0" xfId="0"/>
    <xf numFmtId="0" fontId="9" fillId="0" borderId="0" pivotButton="0" quotePrefix="0" xfId="0"/>
    <xf numFmtId="164" fontId="7" fillId="4" borderId="2" pivotButton="0" quotePrefix="0" xfId="0"/>
    <xf numFmtId="164" fontId="7" fillId="0" borderId="0" pivotButton="0" quotePrefix="0" xfId="0"/>
    <xf numFmtId="165" fontId="5" fillId="0" borderId="0" pivotButton="0" quotePrefix="0" xfId="0"/>
    <xf numFmtId="0" fontId="0" fillId="5" borderId="0" pivotButton="0" quotePrefix="0" xfId="0"/>
    <xf numFmtId="3" fontId="6" fillId="3" borderId="1" pivotButton="0" quotePrefix="0" xfId="0"/>
    <xf numFmtId="0" fontId="7" fillId="0" borderId="0" pivotButton="0" quotePrefix="0" xfId="0"/>
    <xf numFmtId="3" fontId="7" fillId="5" borderId="1" pivotButton="0" quotePrefix="0" xfId="0"/>
    <xf numFmtId="166" fontId="5" fillId="6" borderId="1" pivotButton="0" quotePrefix="0" xfId="0"/>
    <xf numFmtId="166" fontId="5" fillId="7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Kalinne</author>
  </authors>
  <commentList>
    <comment ref="B18" authorId="0" shapeId="0">
      <text>
        <t>Em setembro, R$ 12.891 de tráfego geraram 4 vendas (debriefing de 01/10/2026).</t>
      </text>
    </comment>
    <comment ref="B22" authorId="0" shapeId="0">
      <text>
        <t>Tabela padrão da Hotmart: 9,9% + R$ 1,00 por transacao. CONFIRMAR a taxa real do produto de voces.</t>
      </text>
    </comment>
    <comment ref="B24" authorId="0" shapeId="0">
      <text>
        <t>SUPOSICAO minha. A garantia e de 7 dias. Ajuste quando tiverem historico.</t>
      </text>
    </comment>
    <comment ref="B25" authorId="0" shapeId="0">
      <text>
        <t>NAO SEI o regime tributario do Centro. Deixei em zero de proposito. Simples Anexo III costuma ficar entre 6% e 11%.</t>
      </text>
    </comment>
    <comment ref="B44" authorId="0" shapeId="0">
      <text>
        <t>Nayara + Henri + designer/webdesigner + editor de video. Ajuste se a composicao for outra.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1" t="inlineStr">
        <is>
          <t>BLACK FRIDAY 2026 — PONTO DE EQUILÍBRIO</t>
        </is>
      </c>
    </row>
    <row r="2">
      <c r="A2" s="2" t="inlineStr">
        <is>
          <t>Centro Cultural Hugo de São Vítor · Professor Robson Cardenas · outubro e novembro de 2026</t>
        </is>
      </c>
    </row>
    <row r="4">
      <c r="A4" s="3" t="inlineStr">
        <is>
          <t>Edite apenas as células AZUIS sobre fundo amarelo. Todo o resto é fórmula.</t>
        </is>
      </c>
    </row>
    <row r="6">
      <c r="A6" s="4" t="inlineStr">
        <is>
          <t>EQUIPE E FERRAMENTAS — custo mensal</t>
        </is>
      </c>
      <c r="B6" s="5" t="n"/>
      <c r="C6" s="5" t="n"/>
      <c r="D6" s="5" t="n"/>
    </row>
    <row r="7">
      <c r="A7" s="6" t="inlineStr">
        <is>
          <t>Nayara — social media</t>
        </is>
      </c>
      <c r="B7" s="7" t="n">
        <v>1000</v>
      </c>
    </row>
    <row r="8">
      <c r="A8" s="6" t="inlineStr">
        <is>
          <t>Henri — copy</t>
        </is>
      </c>
      <c r="B8" s="7" t="n">
        <v>2000</v>
      </c>
    </row>
    <row r="9">
      <c r="A9" s="6" t="inlineStr">
        <is>
          <t>Designer / webdesigner</t>
        </is>
      </c>
      <c r="B9" s="7" t="n">
        <v>2000</v>
      </c>
    </row>
    <row r="10">
      <c r="A10" s="6" t="inlineStr">
        <is>
          <t>Gestor de tráfego</t>
        </is>
      </c>
      <c r="B10" s="7" t="n">
        <v>2000</v>
      </c>
    </row>
    <row r="11">
      <c r="A11" s="6" t="inlineStr">
        <is>
          <t>Infra</t>
        </is>
      </c>
      <c r="B11" s="7" t="n">
        <v>800</v>
      </c>
    </row>
    <row r="12">
      <c r="A12" s="6" t="inlineStr">
        <is>
          <t>Ferramentas — e-mail, ManyChat, disparos</t>
        </is>
      </c>
      <c r="B12" s="7" t="n">
        <v>2000</v>
      </c>
    </row>
    <row r="13">
      <c r="A13" s="6" t="inlineStr">
        <is>
          <t>Editor de vídeo</t>
        </is>
      </c>
      <c r="B13" s="7" t="n">
        <v>1500</v>
      </c>
    </row>
    <row r="14">
      <c r="A14" s="8" t="inlineStr">
        <is>
          <t>TOTAL POR MÊS</t>
        </is>
      </c>
      <c r="B14" s="9">
        <f>SUM(B7:B13)</f>
        <v/>
      </c>
    </row>
    <row r="16">
      <c r="A16" s="4" t="inlineStr">
        <is>
          <t>CAMPANHA</t>
        </is>
      </c>
      <c r="B16" s="5" t="n"/>
      <c r="C16" s="5" t="n"/>
      <c r="D16" s="5" t="n"/>
    </row>
    <row r="17">
      <c r="A17" s="6" t="inlineStr">
        <is>
          <t>Meses de equipe (outubro e novembro)</t>
        </is>
      </c>
      <c r="B17" s="10" t="n">
        <v>2</v>
      </c>
    </row>
    <row r="18">
      <c r="A18" s="6" t="inlineStr">
        <is>
          <t>Verba de tráfego — total da campanha</t>
        </is>
      </c>
      <c r="B18" s="7" t="n">
        <v>5000</v>
      </c>
    </row>
    <row r="19">
      <c r="A19" s="8" t="inlineStr">
        <is>
          <t>CUSTO TOTAL DA CAMPANHA</t>
        </is>
      </c>
      <c r="B19" s="9">
        <f>B14*B17+B18</f>
        <v/>
      </c>
    </row>
    <row r="21">
      <c r="A21" s="4" t="inlineStr">
        <is>
          <t>TAXAS E PERDAS</t>
        </is>
      </c>
      <c r="B21" s="5" t="n"/>
      <c r="C21" s="5" t="n"/>
      <c r="D21" s="5" t="n"/>
    </row>
    <row r="22">
      <c r="A22" s="6" t="inlineStr">
        <is>
          <t>Hotmart — percentual por venda</t>
        </is>
      </c>
      <c r="B22" s="11" t="n">
        <v>0.099</v>
      </c>
    </row>
    <row r="23">
      <c r="A23" s="6" t="inlineStr">
        <is>
          <t>Hotmart — valor fixo por venda</t>
        </is>
      </c>
      <c r="B23" s="7" t="n">
        <v>1</v>
      </c>
    </row>
    <row r="24">
      <c r="A24" s="6" t="inlineStr">
        <is>
          <t>Reembolso estimado</t>
        </is>
      </c>
      <c r="B24" s="11" t="n">
        <v>0.05</v>
      </c>
    </row>
    <row r="25">
      <c r="A25" s="6" t="inlineStr">
        <is>
          <t>Imposto sobre faturamento</t>
        </is>
      </c>
      <c r="B25" s="11" t="n">
        <v>0</v>
      </c>
    </row>
    <row r="27">
      <c r="A27" s="4" t="inlineStr">
        <is>
          <t>PREÇOS</t>
        </is>
      </c>
      <c r="B27" s="5" t="n"/>
      <c r="C27" s="5" t="n"/>
      <c r="D27" s="5" t="n"/>
    </row>
    <row r="28">
      <c r="A28" s="6" t="inlineStr">
        <is>
          <t>Preço — não aluno</t>
        </is>
      </c>
      <c r="B28" s="7" t="n">
        <v>1997</v>
      </c>
    </row>
    <row r="29">
      <c r="A29" s="6" t="inlineStr">
        <is>
          <t>Preço — aluno</t>
        </is>
      </c>
      <c r="B29" s="7" t="n">
        <v>1497</v>
      </c>
    </row>
    <row r="30">
      <c r="A30" s="12" t="inlineStr">
        <is>
          <t>Líquido por venda — não aluno</t>
        </is>
      </c>
      <c r="B30" s="13">
        <f>(B28*(1-$B$22)-$B$23)*(1-$B$24)*(1-$B$25)</f>
        <v/>
      </c>
    </row>
    <row r="31">
      <c r="A31" s="12" t="inlineStr">
        <is>
          <t>Líquido por venda — aluno</t>
        </is>
      </c>
      <c r="B31" s="13">
        <f>(B29*(1-$B$22)-$B$23)*(1-$B$24)*(1-$B$25)</f>
        <v/>
      </c>
    </row>
    <row r="33">
      <c r="A33" s="4" t="inlineStr">
        <is>
          <t>MIX ESPERADO DE VENDAS</t>
        </is>
      </c>
      <c r="B33" s="5" t="n"/>
      <c r="C33" s="5" t="n"/>
      <c r="D33" s="5" t="n"/>
    </row>
    <row r="34">
      <c r="A34" s="6" t="inlineStr">
        <is>
          <t>Proporção — alunos</t>
        </is>
      </c>
      <c r="B34" s="10" t="n">
        <v>2</v>
      </c>
    </row>
    <row r="35">
      <c r="A35" s="6" t="inlineStr">
        <is>
          <t>Proporção — não alunos</t>
        </is>
      </c>
      <c r="B35" s="10" t="n">
        <v>1</v>
      </c>
    </row>
    <row r="36">
      <c r="A36" s="12" t="inlineStr">
        <is>
          <t>Líquido médio por venda no mix</t>
        </is>
      </c>
      <c r="B36" s="13">
        <f>(B34*B31+B35*B30)/(B34+B35)</f>
        <v/>
      </c>
    </row>
    <row r="38">
      <c r="A38" s="4" t="inlineStr">
        <is>
          <t>DIVISÃO DO RESULTADO</t>
        </is>
      </c>
      <c r="B38" s="5" t="n"/>
      <c r="C38" s="5" t="n"/>
      <c r="D38" s="5" t="n"/>
    </row>
    <row r="39">
      <c r="A39" s="6" t="inlineStr">
        <is>
          <t>Kalinne / Brand</t>
        </is>
      </c>
      <c r="B39" s="11" t="n">
        <v>0.5</v>
      </c>
    </row>
    <row r="40">
      <c r="A40" s="6" t="inlineStr">
        <is>
          <t>Robson / Centro</t>
        </is>
      </c>
      <c r="B40" s="11" t="n">
        <v>0.5</v>
      </c>
    </row>
    <row r="42">
      <c r="A42" s="4" t="inlineStr">
        <is>
          <t>MODELO ANTIGO — só para comparar</t>
        </is>
      </c>
      <c r="B42" s="5" t="n"/>
      <c r="C42" s="5" t="n"/>
      <c r="D42" s="5" t="n"/>
    </row>
    <row r="43">
      <c r="A43" s="6" t="inlineStr">
        <is>
          <t>Comissão da Brand sobre o faturamento</t>
        </is>
      </c>
      <c r="B43" s="11" t="n">
        <v>0.2</v>
      </c>
    </row>
    <row r="44">
      <c r="A44" s="12" t="inlineStr">
        <is>
          <t>Time da Brand — custo mensal</t>
        </is>
      </c>
      <c r="B44" s="13">
        <f>B7+B8+B9+B13</f>
        <v/>
      </c>
    </row>
    <row r="45">
      <c r="A45" s="12" t="inlineStr">
        <is>
          <t>Time da Brand — custo na campanha</t>
        </is>
      </c>
      <c r="B45" s="13">
        <f>B44*B17</f>
        <v/>
      </c>
    </row>
    <row r="47">
      <c r="A47" s="2" t="inlineStr">
        <is>
          <t>Números que vieram de você, e não de mim: todos os custos de equipe e ferramentas, e a verba de tráfego.</t>
        </is>
      </c>
    </row>
    <row r="48">
      <c r="A48" s="2" t="inlineStr">
        <is>
          <t>Números que eu arbitrei e você precisa confirmar: taxa da Hotmart, reembolso, imposto. Estão com comentário na célula.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QUANTAS VENDAS PARA EMPATAR</t>
        </is>
      </c>
    </row>
    <row r="2">
      <c r="A2" s="2" t="inlineStr">
        <is>
          <t>Vendas necessárias para a receita líquida cobrir o custo total da campanha.</t>
        </is>
      </c>
    </row>
    <row r="4">
      <c r="A4" s="4" t="inlineStr">
        <is>
          <t>O CUSTO</t>
        </is>
      </c>
      <c r="B4" s="5" t="n"/>
    </row>
    <row r="5">
      <c r="A5" s="14" t="inlineStr">
        <is>
          <t>Equipe e ferramentas (2 meses)</t>
        </is>
      </c>
      <c r="B5" s="15">
        <f>Premissas!$B$14*Premissas!$B$17</f>
        <v/>
      </c>
    </row>
    <row r="6">
      <c r="A6" s="14" t="inlineStr">
        <is>
          <t>Tráfego</t>
        </is>
      </c>
      <c r="B6" s="15">
        <f>Premissas!$B$18</f>
        <v/>
      </c>
    </row>
    <row r="7">
      <c r="A7" s="8" t="inlineStr">
        <is>
          <t>CUSTO TOTAL</t>
        </is>
      </c>
      <c r="B7" s="9">
        <f>Premissas!$B$19</f>
        <v/>
      </c>
    </row>
    <row r="9">
      <c r="A9" s="4" t="inlineStr">
        <is>
          <t>VENDAS PARA EMPATAR</t>
        </is>
      </c>
      <c r="B9" s="5" t="n"/>
    </row>
    <row r="10">
      <c r="A10" s="14" t="inlineStr">
        <is>
          <t>Só com vendas a preço de não aluno</t>
        </is>
      </c>
      <c r="B10" s="16">
        <f>ROUNDUP(B7/Premissas!$B$30,0)</f>
        <v/>
      </c>
    </row>
    <row r="11">
      <c r="A11" s="14" t="inlineStr">
        <is>
          <t>Só com vendas a preço de aluno</t>
        </is>
      </c>
      <c r="B11" s="16">
        <f>ROUNDUP(B7/Premissas!$B$31,0)</f>
        <v/>
      </c>
    </row>
    <row r="12">
      <c r="A12" s="8" t="inlineStr">
        <is>
          <t>No mix esperado</t>
        </is>
      </c>
      <c r="B12" s="17">
        <f>ROUNDUP(B7/Premissas!$B$36,0)</f>
        <v/>
      </c>
    </row>
    <row r="14">
      <c r="A14" s="2" t="inlineStr">
        <is>
          <t>Referência: o lançamento de setembro de 2026 vendeu cerca de 21 unidades.</t>
        </is>
      </c>
    </row>
    <row r="16">
      <c r="A16" s="4" t="inlineStr">
        <is>
          <t>E SE A VERBA DE TRÁFEGO FOR OUTRA</t>
        </is>
      </c>
      <c r="B16" s="5" t="n"/>
      <c r="C16" s="5" t="n"/>
      <c r="D16" s="5" t="n"/>
      <c r="E16" s="5" t="n"/>
    </row>
    <row r="17">
      <c r="A17" s="18" t="inlineStr">
        <is>
          <t>Verba de tráfego</t>
        </is>
      </c>
      <c r="B17" s="18" t="inlineStr">
        <is>
          <t>Custo total</t>
        </is>
      </c>
      <c r="C17" s="18" t="inlineStr">
        <is>
          <t>Vendas p/ empatar</t>
        </is>
      </c>
      <c r="D17" s="18" t="inlineStr">
        <is>
          <t>A mais que sem tráfego</t>
        </is>
      </c>
    </row>
    <row r="18">
      <c r="A18" s="19" t="n">
        <v>0</v>
      </c>
      <c r="B18" s="20">
        <f>Premissas!$B$14*Premissas!$B$17+A18</f>
        <v/>
      </c>
      <c r="C18" s="21">
        <f>ROUNDUP(B18/Premissas!$B$36,0)</f>
        <v/>
      </c>
      <c r="D18" s="22">
        <f>C18-$C$18</f>
        <v/>
      </c>
    </row>
    <row r="19">
      <c r="A19" s="19" t="n">
        <v>5000</v>
      </c>
      <c r="B19" s="20">
        <f>Premissas!$B$14*Premissas!$B$17+A19</f>
        <v/>
      </c>
      <c r="C19" s="21">
        <f>ROUNDUP(B19/Premissas!$B$36,0)</f>
        <v/>
      </c>
      <c r="D19" s="22">
        <f>C19-$C$18</f>
        <v/>
      </c>
    </row>
    <row r="20">
      <c r="A20" s="19" t="n">
        <v>10000</v>
      </c>
      <c r="B20" s="20">
        <f>Premissas!$B$14*Premissas!$B$17+A20</f>
        <v/>
      </c>
      <c r="C20" s="21">
        <f>ROUNDUP(B20/Premissas!$B$36,0)</f>
        <v/>
      </c>
      <c r="D20" s="22">
        <f>C20-$C$18</f>
        <v/>
      </c>
    </row>
    <row r="21">
      <c r="A21" s="19" t="n">
        <v>15000</v>
      </c>
      <c r="B21" s="20">
        <f>Premissas!$B$14*Premissas!$B$17+A21</f>
        <v/>
      </c>
      <c r="C21" s="21">
        <f>ROUNDUP(B21/Premissas!$B$36,0)</f>
        <v/>
      </c>
      <c r="D21" s="22">
        <f>C21-$C$18</f>
        <v/>
      </c>
    </row>
    <row r="25">
      <c r="A25" s="4" t="inlineStr">
        <is>
          <t>O TRÁFEGO SE PAGA?</t>
        </is>
      </c>
      <c r="B25" s="5" t="n"/>
    </row>
    <row r="26">
      <c r="A26" s="14" t="inlineStr">
        <is>
          <t>Vendas que a verba de tráfego exige só para se pagar</t>
        </is>
      </c>
      <c r="B26" s="16">
        <f>ROUNDUP(Premissas!$B$18/Premissas!$B$36,0)</f>
        <v/>
      </c>
    </row>
    <row r="27">
      <c r="A27" s="14" t="inlineStr">
        <is>
          <t>Custo por venda no tráfego de setembro (R$ 12.891 / 4)</t>
        </is>
      </c>
      <c r="B27" s="23">
        <f>12891/4</f>
        <v/>
      </c>
    </row>
    <row r="28">
      <c r="A28" s="14" t="inlineStr">
        <is>
          <t>Receita líquida de uma venda a preço de não aluno</t>
        </is>
      </c>
      <c r="B28" s="15">
        <f>Premissas!$B$30</f>
        <v/>
      </c>
    </row>
    <row r="29">
      <c r="A29" s="24" t="inlineStr">
        <is>
          <t>Em setembro, cada venda trazida por tráfego custou quase o dobro do que ela rende.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1" t="inlineStr">
        <is>
          <t>SIMULADOR</t>
        </is>
      </c>
    </row>
    <row r="2">
      <c r="A2" s="2" t="inlineStr">
        <is>
          <t>Digite as duas células azuis. Tudo abaixo recalcula.</t>
        </is>
      </c>
    </row>
    <row r="4">
      <c r="A4" s="4" t="inlineStr">
        <is>
          <t>VENDAS</t>
        </is>
      </c>
      <c r="B4" s="5" t="n"/>
    </row>
    <row r="5">
      <c r="A5" s="6" t="inlineStr">
        <is>
          <t>Vendas para alunos</t>
        </is>
      </c>
      <c r="B5" s="10" t="n">
        <v>40</v>
      </c>
    </row>
    <row r="6">
      <c r="A6" s="6" t="inlineStr">
        <is>
          <t>Vendas para não alunos</t>
        </is>
      </c>
      <c r="B6" s="10" t="n">
        <v>25</v>
      </c>
    </row>
    <row r="7">
      <c r="A7" s="8" t="inlineStr">
        <is>
          <t>TOTAL DE VENDAS</t>
        </is>
      </c>
      <c r="B7" s="17">
        <f>B5+B6</f>
        <v/>
      </c>
    </row>
    <row r="9">
      <c r="A9" s="4" t="inlineStr">
        <is>
          <t>RESULTADO</t>
        </is>
      </c>
      <c r="B9" s="5" t="n"/>
    </row>
    <row r="10">
      <c r="A10" s="14" t="inlineStr">
        <is>
          <t>Faturamento bruto</t>
        </is>
      </c>
      <c r="B10" s="23">
        <f>B5*Premissas!$B$29+B6*Premissas!$B$28</f>
        <v/>
      </c>
    </row>
    <row r="11">
      <c r="A11" s="14" t="inlineStr">
        <is>
          <t>(-) Hotmart</t>
        </is>
      </c>
      <c r="B11" s="23">
        <f>-(B10*Premissas!$B$22+B7*Premissas!$B$23)</f>
        <v/>
      </c>
    </row>
    <row r="12">
      <c r="A12" s="14" t="inlineStr">
        <is>
          <t>(-) Reembolso</t>
        </is>
      </c>
      <c r="B12" s="23">
        <f>-(B10+B11)*Premissas!$B$24</f>
        <v/>
      </c>
    </row>
    <row r="13">
      <c r="A13" s="14" t="inlineStr">
        <is>
          <t>(-) Imposto</t>
        </is>
      </c>
      <c r="B13" s="23">
        <f>-(B10+B11+B12)*Premissas!$B$25</f>
        <v/>
      </c>
    </row>
    <row r="14">
      <c r="A14" s="8" t="inlineStr">
        <is>
          <t>RECEITA LÍQUIDA</t>
        </is>
      </c>
      <c r="B14" s="9">
        <f>B10+B11+B12+B13</f>
        <v/>
      </c>
    </row>
    <row r="15">
      <c r="A15" s="14" t="inlineStr">
        <is>
          <t>(-) Custo total da campanha</t>
        </is>
      </c>
      <c r="B15" s="15">
        <f>-Premissas!$B$19</f>
        <v/>
      </c>
    </row>
    <row r="16">
      <c r="A16" s="8" t="inlineStr">
        <is>
          <t>LUCRO</t>
        </is>
      </c>
      <c r="B16" s="25">
        <f>B14+B15</f>
        <v/>
      </c>
    </row>
    <row r="18">
      <c r="A18" s="4" t="inlineStr">
        <is>
          <t>DIVISÃO</t>
        </is>
      </c>
      <c r="B18" s="5" t="n"/>
    </row>
    <row r="19">
      <c r="A19" s="14" t="inlineStr">
        <is>
          <t>Kalinne / Brand</t>
        </is>
      </c>
      <c r="B19" s="26">
        <f>B16*Premissas!$B$39</f>
        <v/>
      </c>
    </row>
    <row r="20">
      <c r="A20" s="14" t="inlineStr">
        <is>
          <t>Robson / Centro</t>
        </is>
      </c>
      <c r="B20" s="26">
        <f>B16*Premissas!$B$40</f>
        <v/>
      </c>
    </row>
    <row r="22">
      <c r="A22" s="4" t="inlineStr">
        <is>
          <t>CONFERÊNCIA</t>
        </is>
      </c>
      <c r="B22" s="5" t="n"/>
    </row>
    <row r="23">
      <c r="A23" s="14" t="inlineStr">
        <is>
          <t>Falta quanto para empatar</t>
        </is>
      </c>
      <c r="B23" s="23">
        <f>IF(B16&gt;=0,0,-B16)</f>
        <v/>
      </c>
    </row>
    <row r="24">
      <c r="A24" s="14" t="inlineStr">
        <is>
          <t>Vendas que ainda faltam para empatar</t>
        </is>
      </c>
      <c r="B24" s="16">
        <f>IF(B16&gt;=0,0,ROUNDUP(-B16/Premissas!$B$36,0))</f>
        <v/>
      </c>
    </row>
    <row r="25">
      <c r="A25" s="14" t="inlineStr">
        <is>
          <t>Margem sobre o faturamento</t>
        </is>
      </c>
      <c r="B25" s="27">
        <f>IF(B10=0,0,B16/B10)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TRÊS CENÁRIOS</t>
        </is>
      </c>
    </row>
    <row r="2">
      <c r="A2" s="2" t="inlineStr">
        <is>
          <t>As quatro linhas azuis são as suposições de volume. Mude à vontade.</t>
        </is>
      </c>
    </row>
    <row r="4">
      <c r="A4" s="28" t="inlineStr"/>
      <c r="B4" s="18" t="inlineStr">
        <is>
          <t>Conservador</t>
        </is>
      </c>
      <c r="C4" s="18" t="inlineStr">
        <is>
          <t>Base</t>
        </is>
      </c>
      <c r="D4" s="18" t="inlineStr">
        <is>
          <t>Bom</t>
        </is>
      </c>
    </row>
    <row r="5">
      <c r="A5" s="14" t="inlineStr">
        <is>
          <t>Vendas para alunos</t>
        </is>
      </c>
      <c r="B5" s="29" t="n">
        <v>22</v>
      </c>
      <c r="C5" s="29" t="n">
        <v>40</v>
      </c>
      <c r="D5" s="29" t="n">
        <v>60</v>
      </c>
    </row>
    <row r="6">
      <c r="A6" s="14" t="inlineStr">
        <is>
          <t>Vendas para não alunos</t>
        </is>
      </c>
      <c r="B6" s="29" t="n">
        <v>12</v>
      </c>
      <c r="C6" s="29" t="n">
        <v>25</v>
      </c>
      <c r="D6" s="29" t="n">
        <v>45</v>
      </c>
    </row>
    <row r="7">
      <c r="A7" s="30" t="inlineStr">
        <is>
          <t>Total de vendas</t>
        </is>
      </c>
      <c r="B7" s="16">
        <f>B5+B6</f>
        <v/>
      </c>
      <c r="C7" s="16">
        <f>C5+C6</f>
        <v/>
      </c>
      <c r="D7" s="16">
        <f>D5+D6</f>
        <v/>
      </c>
    </row>
    <row r="8">
      <c r="A8" s="14" t="inlineStr">
        <is>
          <t>Faturamento bruto</t>
        </is>
      </c>
      <c r="B8" s="23">
        <f>B5*Premissas!$B$29+B6*Premissas!$B$28</f>
        <v/>
      </c>
      <c r="C8" s="23">
        <f>C5*Premissas!$B$29+C6*Premissas!$B$28</f>
        <v/>
      </c>
      <c r="D8" s="23">
        <f>D5*Premissas!$B$29+D6*Premissas!$B$28</f>
        <v/>
      </c>
    </row>
    <row r="9">
      <c r="A9" s="14" t="inlineStr">
        <is>
          <t>Receita líquida</t>
        </is>
      </c>
      <c r="B9" s="23">
        <f>B5*Premissas!$B$31+B6*Premissas!$B$30</f>
        <v/>
      </c>
      <c r="C9" s="23">
        <f>C5*Premissas!$B$31+C6*Premissas!$B$30</f>
        <v/>
      </c>
      <c r="D9" s="23">
        <f>D5*Premissas!$B$31+D6*Premissas!$B$30</f>
        <v/>
      </c>
    </row>
    <row r="10">
      <c r="A10" s="14" t="inlineStr">
        <is>
          <t>Custo total</t>
        </is>
      </c>
      <c r="B10" s="23">
        <f>Premissas!$B$19</f>
        <v/>
      </c>
      <c r="C10" s="23">
        <f>Premissas!$B$19</f>
        <v/>
      </c>
      <c r="D10" s="23">
        <f>Premissas!$B$19</f>
        <v/>
      </c>
    </row>
    <row r="11">
      <c r="A11" s="8" t="inlineStr">
        <is>
          <t>LUCRO</t>
        </is>
      </c>
      <c r="B11" s="25">
        <f>B9-B10</f>
        <v/>
      </c>
      <c r="C11" s="25">
        <f>C9-C10</f>
        <v/>
      </c>
      <c r="D11" s="25">
        <f>D9-D10</f>
        <v/>
      </c>
    </row>
    <row r="12">
      <c r="A12" s="30" t="inlineStr">
        <is>
          <t>Kalinne / Brand</t>
        </is>
      </c>
      <c r="B12" s="26">
        <f>B11*Premissas!$B$39</f>
        <v/>
      </c>
      <c r="C12" s="26">
        <f>C11*Premissas!$B$39</f>
        <v/>
      </c>
      <c r="D12" s="26">
        <f>D11*Premissas!$B$39</f>
        <v/>
      </c>
    </row>
    <row r="13">
      <c r="A13" s="14" t="inlineStr">
        <is>
          <t>Robson / Centro</t>
        </is>
      </c>
      <c r="B13" s="23">
        <f>B11*Premissas!$B$40</f>
        <v/>
      </c>
      <c r="C13" s="23">
        <f>C11*Premissas!$B$40</f>
        <v/>
      </c>
      <c r="D13" s="23">
        <f>D11*Premissas!$B$40</f>
        <v/>
      </c>
    </row>
    <row r="14">
      <c r="A14" s="14" t="inlineStr">
        <is>
          <t>Margem sobre o faturamento</t>
        </is>
      </c>
      <c r="B14" s="27">
        <f>IF(B8=0,0,B11/B8)</f>
        <v/>
      </c>
      <c r="C14" s="27">
        <f>IF(C8=0,0,C11/C8)</f>
        <v/>
      </c>
      <c r="D14" s="27">
        <f>IF(D8=0,0,D11/D8)</f>
        <v/>
      </c>
    </row>
    <row r="16">
      <c r="A16" s="2" t="inlineStr">
        <is>
          <t>Conservador = 22 vendas sobre ~750 compradores históricos (2,9%) e 12 vendas de tráfego — o triplo do que setembro entregou.</t>
        </is>
      </c>
    </row>
    <row r="17">
      <c r="A17" s="2" t="inlineStr">
        <is>
          <t>Os volumes são suposição minha. Não há histórico de Black Friday nesta casa para calibrar.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LUCRO TOTAL POR COMBINAÇÃO DE VENDAS</t>
        </is>
      </c>
    </row>
    <row r="2">
      <c r="A2" s="2" t="inlineStr">
        <is>
          <t>Linhas: vendas para alunos. Colunas: vendas para não alunos. Verde = lucro.</t>
        </is>
      </c>
    </row>
    <row r="4">
      <c r="A4" s="18" t="inlineStr">
        <is>
          <t>alunos ↓   não alunos →</t>
        </is>
      </c>
      <c r="B4" s="31" t="n">
        <v>0</v>
      </c>
      <c r="C4" s="31" t="n">
        <v>5</v>
      </c>
      <c r="D4" s="31" t="n">
        <v>10</v>
      </c>
      <c r="E4" s="31" t="n">
        <v>15</v>
      </c>
      <c r="F4" s="31" t="n">
        <v>20</v>
      </c>
      <c r="G4" s="31" t="n">
        <v>25</v>
      </c>
      <c r="H4" s="31" t="n">
        <v>30</v>
      </c>
      <c r="I4" s="31" t="n">
        <v>40</v>
      </c>
      <c r="J4" s="31" t="n">
        <v>50</v>
      </c>
    </row>
    <row r="5">
      <c r="A5" s="31" t="n">
        <v>0</v>
      </c>
      <c r="B5" s="32">
        <f>0*Premissas!$B$31+0*Premissas!$B$30-Premissas!$B$19</f>
        <v/>
      </c>
      <c r="C5" s="32">
        <f>0*Premissas!$B$31+5*Premissas!$B$30-Premissas!$B$19</f>
        <v/>
      </c>
      <c r="D5" s="32">
        <f>0*Premissas!$B$31+10*Premissas!$B$30-Premissas!$B$19</f>
        <v/>
      </c>
      <c r="E5" s="32">
        <f>0*Premissas!$B$31+15*Premissas!$B$30-Premissas!$B$19</f>
        <v/>
      </c>
      <c r="F5" s="33">
        <f>0*Premissas!$B$31+20*Premissas!$B$30-Premissas!$B$19</f>
        <v/>
      </c>
      <c r="G5" s="33">
        <f>0*Premissas!$B$31+25*Premissas!$B$30-Premissas!$B$19</f>
        <v/>
      </c>
      <c r="H5" s="33">
        <f>0*Premissas!$B$31+30*Premissas!$B$30-Premissas!$B$19</f>
        <v/>
      </c>
      <c r="I5" s="33">
        <f>0*Premissas!$B$31+40*Premissas!$B$30-Premissas!$B$19</f>
        <v/>
      </c>
      <c r="J5" s="33">
        <f>0*Premissas!$B$31+50*Premissas!$B$30-Premissas!$B$19</f>
        <v/>
      </c>
    </row>
    <row r="6">
      <c r="A6" s="31" t="n">
        <v>10</v>
      </c>
      <c r="B6" s="32">
        <f>10*Premissas!$B$31+0*Premissas!$B$30-Premissas!$B$19</f>
        <v/>
      </c>
      <c r="C6" s="32">
        <f>10*Premissas!$B$31+5*Premissas!$B$30-Premissas!$B$19</f>
        <v/>
      </c>
      <c r="D6" s="33">
        <f>10*Premissas!$B$31+10*Premissas!$B$30-Premissas!$B$19</f>
        <v/>
      </c>
      <c r="E6" s="33">
        <f>10*Premissas!$B$31+15*Premissas!$B$30-Premissas!$B$19</f>
        <v/>
      </c>
      <c r="F6" s="33">
        <f>10*Premissas!$B$31+20*Premissas!$B$30-Premissas!$B$19</f>
        <v/>
      </c>
      <c r="G6" s="33">
        <f>10*Premissas!$B$31+25*Premissas!$B$30-Premissas!$B$19</f>
        <v/>
      </c>
      <c r="H6" s="33">
        <f>10*Premissas!$B$31+30*Premissas!$B$30-Premissas!$B$19</f>
        <v/>
      </c>
      <c r="I6" s="33">
        <f>10*Premissas!$B$31+40*Premissas!$B$30-Premissas!$B$19</f>
        <v/>
      </c>
      <c r="J6" s="33">
        <f>10*Premissas!$B$31+50*Premissas!$B$30-Premissas!$B$19</f>
        <v/>
      </c>
    </row>
    <row r="7">
      <c r="A7" s="31" t="n">
        <v>20</v>
      </c>
      <c r="B7" s="32">
        <f>20*Premissas!$B$31+0*Premissas!$B$30-Premissas!$B$19</f>
        <v/>
      </c>
      <c r="C7" s="33">
        <f>20*Premissas!$B$31+5*Premissas!$B$30-Premissas!$B$19</f>
        <v/>
      </c>
      <c r="D7" s="33">
        <f>20*Premissas!$B$31+10*Premissas!$B$30-Premissas!$B$19</f>
        <v/>
      </c>
      <c r="E7" s="33">
        <f>20*Premissas!$B$31+15*Premissas!$B$30-Premissas!$B$19</f>
        <v/>
      </c>
      <c r="F7" s="33">
        <f>20*Premissas!$B$31+20*Premissas!$B$30-Premissas!$B$19</f>
        <v/>
      </c>
      <c r="G7" s="33">
        <f>20*Premissas!$B$31+25*Premissas!$B$30-Premissas!$B$19</f>
        <v/>
      </c>
      <c r="H7" s="33">
        <f>20*Premissas!$B$31+30*Premissas!$B$30-Premissas!$B$19</f>
        <v/>
      </c>
      <c r="I7" s="33">
        <f>20*Premissas!$B$31+40*Premissas!$B$30-Premissas!$B$19</f>
        <v/>
      </c>
      <c r="J7" s="33">
        <f>20*Premissas!$B$31+50*Premissas!$B$30-Premissas!$B$19</f>
        <v/>
      </c>
    </row>
    <row r="8">
      <c r="A8" s="31" t="n">
        <v>30</v>
      </c>
      <c r="B8" s="33">
        <f>30*Premissas!$B$31+0*Premissas!$B$30-Premissas!$B$19</f>
        <v/>
      </c>
      <c r="C8" s="33">
        <f>30*Premissas!$B$31+5*Premissas!$B$30-Premissas!$B$19</f>
        <v/>
      </c>
      <c r="D8" s="33">
        <f>30*Premissas!$B$31+10*Premissas!$B$30-Premissas!$B$19</f>
        <v/>
      </c>
      <c r="E8" s="33">
        <f>30*Premissas!$B$31+15*Premissas!$B$30-Premissas!$B$19</f>
        <v/>
      </c>
      <c r="F8" s="33">
        <f>30*Premissas!$B$31+20*Premissas!$B$30-Premissas!$B$19</f>
        <v/>
      </c>
      <c r="G8" s="33">
        <f>30*Premissas!$B$31+25*Premissas!$B$30-Premissas!$B$19</f>
        <v/>
      </c>
      <c r="H8" s="33">
        <f>30*Premissas!$B$31+30*Premissas!$B$30-Premissas!$B$19</f>
        <v/>
      </c>
      <c r="I8" s="33">
        <f>30*Premissas!$B$31+40*Premissas!$B$30-Premissas!$B$19</f>
        <v/>
      </c>
      <c r="J8" s="33">
        <f>30*Premissas!$B$31+50*Premissas!$B$30-Premissas!$B$19</f>
        <v/>
      </c>
    </row>
    <row r="9">
      <c r="A9" s="31" t="n">
        <v>40</v>
      </c>
      <c r="B9" s="33">
        <f>40*Premissas!$B$31+0*Premissas!$B$30-Premissas!$B$19</f>
        <v/>
      </c>
      <c r="C9" s="33">
        <f>40*Premissas!$B$31+5*Premissas!$B$30-Premissas!$B$19</f>
        <v/>
      </c>
      <c r="D9" s="33">
        <f>40*Premissas!$B$31+10*Premissas!$B$30-Premissas!$B$19</f>
        <v/>
      </c>
      <c r="E9" s="33">
        <f>40*Premissas!$B$31+15*Premissas!$B$30-Premissas!$B$19</f>
        <v/>
      </c>
      <c r="F9" s="33">
        <f>40*Premissas!$B$31+20*Premissas!$B$30-Premissas!$B$19</f>
        <v/>
      </c>
      <c r="G9" s="33">
        <f>40*Premissas!$B$31+25*Premissas!$B$30-Premissas!$B$19</f>
        <v/>
      </c>
      <c r="H9" s="33">
        <f>40*Premissas!$B$31+30*Premissas!$B$30-Premissas!$B$19</f>
        <v/>
      </c>
      <c r="I9" s="33">
        <f>40*Premissas!$B$31+40*Premissas!$B$30-Premissas!$B$19</f>
        <v/>
      </c>
      <c r="J9" s="33">
        <f>40*Premissas!$B$31+50*Premissas!$B$30-Premissas!$B$19</f>
        <v/>
      </c>
    </row>
    <row r="10">
      <c r="A10" s="31" t="n">
        <v>50</v>
      </c>
      <c r="B10" s="33">
        <f>50*Premissas!$B$31+0*Premissas!$B$30-Premissas!$B$19</f>
        <v/>
      </c>
      <c r="C10" s="33">
        <f>50*Premissas!$B$31+5*Premissas!$B$30-Premissas!$B$19</f>
        <v/>
      </c>
      <c r="D10" s="33">
        <f>50*Premissas!$B$31+10*Premissas!$B$30-Premissas!$B$19</f>
        <v/>
      </c>
      <c r="E10" s="33">
        <f>50*Premissas!$B$31+15*Premissas!$B$30-Premissas!$B$19</f>
        <v/>
      </c>
      <c r="F10" s="33">
        <f>50*Premissas!$B$31+20*Premissas!$B$30-Premissas!$B$19</f>
        <v/>
      </c>
      <c r="G10" s="33">
        <f>50*Premissas!$B$31+25*Premissas!$B$30-Premissas!$B$19</f>
        <v/>
      </c>
      <c r="H10" s="33">
        <f>50*Premissas!$B$31+30*Premissas!$B$30-Premissas!$B$19</f>
        <v/>
      </c>
      <c r="I10" s="33">
        <f>50*Premissas!$B$31+40*Premissas!$B$30-Premissas!$B$19</f>
        <v/>
      </c>
      <c r="J10" s="33">
        <f>50*Premissas!$B$31+50*Premissas!$B$30-Premissas!$B$19</f>
        <v/>
      </c>
    </row>
    <row r="11">
      <c r="A11" s="31" t="n">
        <v>60</v>
      </c>
      <c r="B11" s="33">
        <f>60*Premissas!$B$31+0*Premissas!$B$30-Premissas!$B$19</f>
        <v/>
      </c>
      <c r="C11" s="33">
        <f>60*Premissas!$B$31+5*Premissas!$B$30-Premissas!$B$19</f>
        <v/>
      </c>
      <c r="D11" s="33">
        <f>60*Premissas!$B$31+10*Premissas!$B$30-Premissas!$B$19</f>
        <v/>
      </c>
      <c r="E11" s="33">
        <f>60*Premissas!$B$31+15*Premissas!$B$30-Premissas!$B$19</f>
        <v/>
      </c>
      <c r="F11" s="33">
        <f>60*Premissas!$B$31+20*Premissas!$B$30-Premissas!$B$19</f>
        <v/>
      </c>
      <c r="G11" s="33">
        <f>60*Premissas!$B$31+25*Premissas!$B$30-Premissas!$B$19</f>
        <v/>
      </c>
      <c r="H11" s="33">
        <f>60*Premissas!$B$31+30*Premissas!$B$30-Premissas!$B$19</f>
        <v/>
      </c>
      <c r="I11" s="33">
        <f>60*Premissas!$B$31+40*Premissas!$B$30-Premissas!$B$19</f>
        <v/>
      </c>
      <c r="J11" s="33">
        <f>60*Premissas!$B$31+50*Premissas!$B$30-Premissas!$B$19</f>
        <v/>
      </c>
    </row>
    <row r="12">
      <c r="A12" s="31" t="n">
        <v>70</v>
      </c>
      <c r="B12" s="33">
        <f>70*Premissas!$B$31+0*Premissas!$B$30-Premissas!$B$19</f>
        <v/>
      </c>
      <c r="C12" s="33">
        <f>70*Premissas!$B$31+5*Premissas!$B$30-Premissas!$B$19</f>
        <v/>
      </c>
      <c r="D12" s="33">
        <f>70*Premissas!$B$31+10*Premissas!$B$30-Premissas!$B$19</f>
        <v/>
      </c>
      <c r="E12" s="33">
        <f>70*Premissas!$B$31+15*Premissas!$B$30-Premissas!$B$19</f>
        <v/>
      </c>
      <c r="F12" s="33">
        <f>70*Premissas!$B$31+20*Premissas!$B$30-Premissas!$B$19</f>
        <v/>
      </c>
      <c r="G12" s="33">
        <f>70*Premissas!$B$31+25*Premissas!$B$30-Premissas!$B$19</f>
        <v/>
      </c>
      <c r="H12" s="33">
        <f>70*Premissas!$B$31+30*Premissas!$B$30-Premissas!$B$19</f>
        <v/>
      </c>
      <c r="I12" s="33">
        <f>70*Premissas!$B$31+40*Premissas!$B$30-Premissas!$B$19</f>
        <v/>
      </c>
      <c r="J12" s="33">
        <f>70*Premissas!$B$31+50*Premissas!$B$30-Premissas!$B$19</f>
        <v/>
      </c>
    </row>
    <row r="13">
      <c r="A13" s="31" t="n">
        <v>80</v>
      </c>
      <c r="B13" s="33">
        <f>80*Premissas!$B$31+0*Premissas!$B$30-Premissas!$B$19</f>
        <v/>
      </c>
      <c r="C13" s="33">
        <f>80*Premissas!$B$31+5*Premissas!$B$30-Premissas!$B$19</f>
        <v/>
      </c>
      <c r="D13" s="33">
        <f>80*Premissas!$B$31+10*Premissas!$B$30-Premissas!$B$19</f>
        <v/>
      </c>
      <c r="E13" s="33">
        <f>80*Premissas!$B$31+15*Premissas!$B$30-Premissas!$B$19</f>
        <v/>
      </c>
      <c r="F13" s="33">
        <f>80*Premissas!$B$31+20*Premissas!$B$30-Premissas!$B$19</f>
        <v/>
      </c>
      <c r="G13" s="33">
        <f>80*Premissas!$B$31+25*Premissas!$B$30-Premissas!$B$19</f>
        <v/>
      </c>
      <c r="H13" s="33">
        <f>80*Premissas!$B$31+30*Premissas!$B$30-Premissas!$B$19</f>
        <v/>
      </c>
      <c r="I13" s="33">
        <f>80*Premissas!$B$31+40*Premissas!$B$30-Premissas!$B$19</f>
        <v/>
      </c>
      <c r="J13" s="33">
        <f>80*Premissas!$B$31+50*Premissas!$B$30-Premissas!$B$19</f>
        <v/>
      </c>
    </row>
    <row r="15">
      <c r="A15" s="2" t="inlineStr">
        <is>
          <t>O sombreado é estático e foi calculado com as premissas atuais. Se você mudar preços ou custos, olhe o número, não a cor.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 50/50 É MELHOR QUE A COMISSÃO DE 20%?</t>
        </is>
      </c>
    </row>
    <row r="2">
      <c r="A2" s="2" t="inlineStr">
        <is>
          <t>No modelo de 20%, a Brand recebia 20% do faturamento e bancava o próprio time.</t>
        </is>
      </c>
    </row>
    <row r="3">
      <c r="A3" s="2" t="inlineStr">
        <is>
          <t>No 50/50, custos e lucros são divididos — inclusive o tráfego.</t>
        </is>
      </c>
    </row>
    <row r="5">
      <c r="A5" s="18" t="inlineStr">
        <is>
          <t>Faturamento bruto</t>
        </is>
      </c>
      <c r="B5" s="18" t="inlineStr">
        <is>
          <t>Você no 20%</t>
        </is>
      </c>
      <c r="C5" s="18" t="inlineStr">
        <is>
          <t>Você no 50/50</t>
        </is>
      </c>
      <c r="D5" s="18" t="inlineStr">
        <is>
          <t>Diferença</t>
        </is>
      </c>
      <c r="E5" s="18" t="inlineStr">
        <is>
          <t>Melhor</t>
        </is>
      </c>
    </row>
    <row r="6">
      <c r="A6" s="19" t="n">
        <v>20000</v>
      </c>
      <c r="B6" s="20">
        <f>A6*Premissas!$B$43-Premissas!$B$45</f>
        <v/>
      </c>
      <c r="C6" s="20">
        <f>(A6*(1-Premissas!$B$22)-(A6/Premissas!$B$36)*Premissas!$B$23-A6*(1-Premissas!$B$22)*Premissas!$B$24-Premissas!$B$19)*Premissas!$B$39</f>
        <v/>
      </c>
      <c r="D6" s="20">
        <f>C6-B6</f>
        <v/>
      </c>
      <c r="E6" s="34">
        <f>IF(C6&gt;B6,"50/50","20%")</f>
        <v/>
      </c>
    </row>
    <row r="7">
      <c r="A7" s="19" t="n">
        <v>40000</v>
      </c>
      <c r="B7" s="20">
        <f>A7*Premissas!$B$43-Premissas!$B$45</f>
        <v/>
      </c>
      <c r="C7" s="20">
        <f>(A7*(1-Premissas!$B$22)-(A7/Premissas!$B$36)*Premissas!$B$23-A7*(1-Premissas!$B$22)*Premissas!$B$24-Premissas!$B$19)*Premissas!$B$39</f>
        <v/>
      </c>
      <c r="D7" s="20">
        <f>C7-B7</f>
        <v/>
      </c>
      <c r="E7" s="34">
        <f>IF(C7&gt;B7,"50/50","20%")</f>
        <v/>
      </c>
    </row>
    <row r="8">
      <c r="A8" s="19" t="n">
        <v>60000</v>
      </c>
      <c r="B8" s="20">
        <f>A8*Premissas!$B$43-Premissas!$B$45</f>
        <v/>
      </c>
      <c r="C8" s="20">
        <f>(A8*(1-Premissas!$B$22)-(A8/Premissas!$B$36)*Premissas!$B$23-A8*(1-Premissas!$B$22)*Premissas!$B$24-Premissas!$B$19)*Premissas!$B$39</f>
        <v/>
      </c>
      <c r="D8" s="20">
        <f>C8-B8</f>
        <v/>
      </c>
      <c r="E8" s="34">
        <f>IF(C8&gt;B8,"50/50","20%")</f>
        <v/>
      </c>
    </row>
    <row r="9">
      <c r="A9" s="19" t="n">
        <v>80000</v>
      </c>
      <c r="B9" s="20">
        <f>A9*Premissas!$B$43-Premissas!$B$45</f>
        <v/>
      </c>
      <c r="C9" s="20">
        <f>(A9*(1-Premissas!$B$22)-(A9/Premissas!$B$36)*Premissas!$B$23-A9*(1-Premissas!$B$22)*Premissas!$B$24-Premissas!$B$19)*Premissas!$B$39</f>
        <v/>
      </c>
      <c r="D9" s="20">
        <f>C9-B9</f>
        <v/>
      </c>
      <c r="E9" s="34">
        <f>IF(C9&gt;B9,"50/50","20%")</f>
        <v/>
      </c>
    </row>
    <row r="10">
      <c r="A10" s="19" t="n">
        <v>100000</v>
      </c>
      <c r="B10" s="20">
        <f>A10*Premissas!$B$43-Premissas!$B$45</f>
        <v/>
      </c>
      <c r="C10" s="20">
        <f>(A10*(1-Premissas!$B$22)-(A10/Premissas!$B$36)*Premissas!$B$23-A10*(1-Premissas!$B$22)*Premissas!$B$24-Premissas!$B$19)*Premissas!$B$39</f>
        <v/>
      </c>
      <c r="D10" s="20">
        <f>C10-B10</f>
        <v/>
      </c>
      <c r="E10" s="34">
        <f>IF(C10&gt;B10,"50/50","20%")</f>
        <v/>
      </c>
    </row>
    <row r="11">
      <c r="A11" s="19" t="n">
        <v>150000</v>
      </c>
      <c r="B11" s="20">
        <f>A11*Premissas!$B$43-Premissas!$B$45</f>
        <v/>
      </c>
      <c r="C11" s="20">
        <f>(A11*(1-Premissas!$B$22)-(A11/Premissas!$B$36)*Premissas!$B$23-A11*(1-Premissas!$B$22)*Premissas!$B$24-Premissas!$B$19)*Premissas!$B$39</f>
        <v/>
      </c>
      <c r="D11" s="20">
        <f>C11-B11</f>
        <v/>
      </c>
      <c r="E11" s="34">
        <f>IF(C11&gt;B11,"50/50","20%")</f>
        <v/>
      </c>
    </row>
    <row r="12">
      <c r="A12" s="19" t="n">
        <v>200000</v>
      </c>
      <c r="B12" s="20">
        <f>A12*Premissas!$B$43-Premissas!$B$45</f>
        <v/>
      </c>
      <c r="C12" s="20">
        <f>(A12*(1-Premissas!$B$22)-(A12/Premissas!$B$36)*Premissas!$B$23-A12*(1-Premissas!$B$22)*Premissas!$B$24-Premissas!$B$19)*Premissas!$B$39</f>
        <v/>
      </c>
      <c r="D12" s="20">
        <f>C12-B12</f>
        <v/>
      </c>
      <c r="E12" s="34">
        <f>IF(C12&gt;B12,"50/50","20%")</f>
        <v/>
      </c>
    </row>
    <row r="13">
      <c r="A13" s="19" t="n">
        <v>250000</v>
      </c>
      <c r="B13" s="20">
        <f>A13*Premissas!$B$43-Premissas!$B$45</f>
        <v/>
      </c>
      <c r="C13" s="20">
        <f>(A13*(1-Premissas!$B$22)-(A13/Premissas!$B$36)*Premissas!$B$23-A13*(1-Premissas!$B$22)*Premissas!$B$24-Premissas!$B$19)*Premissas!$B$39</f>
        <v/>
      </c>
      <c r="D13" s="20">
        <f>C13-B13</f>
        <v/>
      </c>
      <c r="E13" s="34">
        <f>IF(C13&gt;B13,"50/50","20%")</f>
        <v/>
      </c>
    </row>
    <row r="14">
      <c r="A14" s="19" t="n">
        <v>300000</v>
      </c>
      <c r="B14" s="20">
        <f>A14*Premissas!$B$43-Premissas!$B$45</f>
        <v/>
      </c>
      <c r="C14" s="20">
        <f>(A14*(1-Premissas!$B$22)-(A14/Premissas!$B$36)*Premissas!$B$23-A14*(1-Premissas!$B$22)*Premissas!$B$24-Premissas!$B$19)*Premissas!$B$39</f>
        <v/>
      </c>
      <c r="D14" s="20">
        <f>C14-B14</f>
        <v/>
      </c>
      <c r="E14" s="34">
        <f>IF(C14&gt;B14,"50/50","20%")</f>
        <v/>
      </c>
    </row>
    <row r="16">
      <c r="A16" s="30" t="inlineStr">
        <is>
          <t>Pior caso de cada modelo — se a campanha não vender nada:</t>
        </is>
      </c>
    </row>
    <row r="17">
      <c r="A17" s="14" t="inlineStr">
        <is>
          <t>Você no 20% (só o seu time)</t>
        </is>
      </c>
      <c r="B17" s="23">
        <f>-Premissas!$B$45</f>
        <v/>
      </c>
    </row>
    <row r="18">
      <c r="A18" s="14" t="inlineStr">
        <is>
          <t>Você no 50/50 (metade de tudo)</t>
        </is>
      </c>
      <c r="B18" s="23">
        <f>-Premissas!$B$19*Premissas!$B$39</f>
        <v/>
      </c>
    </row>
    <row r="19">
      <c r="A19" s="8" t="inlineStr">
        <is>
          <t>Risco a mais que você assume</t>
        </is>
      </c>
      <c r="B19" s="9">
        <f>B18-B17</f>
        <v/>
      </c>
    </row>
    <row r="21">
      <c r="A21" s="2" t="inlineStr">
        <is>
          <t>A coluna do 50/50 ignora o imposto sobre faturamento, porque ele depende do regime e está zerado nas premissas.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2026-10-05T10:59:27Z</dcterms:created>
  <dcterms:modified xmlns:dcterms="http://purl.org/dc/terms/" xmlns:xsi="http://www.w3.org/2001/XMLSchema-instance" xsi:type="dcterms:W3CDTF">2026-10-05T10:59:27Z</dcterms:modified>
</cp:coreProperties>
</file>